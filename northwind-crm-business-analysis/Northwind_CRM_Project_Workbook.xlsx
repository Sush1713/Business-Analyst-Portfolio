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038C053C-3697-4AB6-A44F-1432465009D0}" xr6:coauthVersionLast="47" xr6:coauthVersionMax="47" xr10:uidLastSave="{00000000-0000-0000-0000-000000000000}"/>
  <bookViews>
    <workbookView xWindow="-110" yWindow="-110" windowWidth="19420" windowHeight="10300" tabRatio="500" firstSheet="4" activeTab="5" xr2:uid="{00000000-000D-0000-FFFF-FFFF00000000}"/>
  </bookViews>
  <sheets>
    <sheet name="Project Overview" sheetId="1" r:id="rId1"/>
    <sheet name="Requirements" sheetId="2" r:id="rId2"/>
    <sheet name="EPICS" sheetId="3" r:id="rId3"/>
    <sheet name="User Stories" sheetId="4" r:id="rId4"/>
    <sheet name="Roadmap" sheetId="5" r:id="rId5"/>
    <sheet name="Gantt Chart" sheetId="6" r:id="rId6"/>
    <sheet name="Traceability Matrix" sheetId="7" r:id="rId7"/>
    <sheet name="Risk Log"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0" i="1" l="1"/>
  <c r="E7" i="8"/>
  <c r="F7" i="8" s="1"/>
  <c r="E6" i="8"/>
  <c r="F6" i="8" s="1"/>
  <c r="E5" i="8"/>
  <c r="F5" i="8" s="1"/>
  <c r="E4" i="8"/>
  <c r="F4" i="8" s="1"/>
  <c r="F3" i="8"/>
  <c r="E3" i="8"/>
  <c r="F2" i="8"/>
  <c r="E2" i="8"/>
  <c r="E5" i="6"/>
  <c r="E6" i="6" s="1"/>
  <c r="G1" i="6"/>
  <c r="H1" i="6" s="1"/>
  <c r="I1" i="6" s="1"/>
  <c r="J1" i="6" s="1"/>
  <c r="K1" i="6" s="1"/>
  <c r="L1" i="6" s="1"/>
  <c r="M1" i="6" s="1"/>
  <c r="N1" i="6" s="1"/>
  <c r="O1" i="6" s="1"/>
  <c r="P1" i="6" s="1"/>
  <c r="Q1" i="6" s="1"/>
  <c r="R1" i="6" s="1"/>
  <c r="S1" i="6" s="1"/>
  <c r="T1" i="6" s="1"/>
  <c r="U1" i="6" s="1"/>
  <c r="V1" i="6" s="1"/>
  <c r="W1" i="6" s="1"/>
  <c r="X1" i="6" s="1"/>
  <c r="Y1" i="6" s="1"/>
  <c r="Z1" i="6" s="1"/>
  <c r="AA1" i="6" s="1"/>
  <c r="AB1" i="6" s="1"/>
  <c r="AC1" i="6" s="1"/>
  <c r="AD1" i="6" s="1"/>
  <c r="AE1" i="6" s="1"/>
  <c r="AF1" i="6" s="1"/>
  <c r="AG1" i="6" s="1"/>
  <c r="AH1" i="6" s="1"/>
  <c r="AI1" i="6" s="1"/>
  <c r="AJ1" i="6" s="1"/>
  <c r="AK1" i="6" s="1"/>
  <c r="AL1" i="6" s="1"/>
  <c r="AM1" i="6" s="1"/>
  <c r="AN1" i="6" s="1"/>
  <c r="AO1" i="6" s="1"/>
  <c r="AP1" i="6" s="1"/>
  <c r="AQ1" i="6" s="1"/>
  <c r="AR1" i="6" s="1"/>
  <c r="AS1" i="6" s="1"/>
  <c r="AT1" i="6" s="1"/>
  <c r="AU1" i="6" s="1"/>
  <c r="AV1" i="6" s="1"/>
  <c r="AW1" i="6" s="1"/>
  <c r="AX1" i="6" s="1"/>
  <c r="AY1" i="6" s="1"/>
  <c r="AZ1" i="6" s="1"/>
  <c r="BA1" i="6" s="1"/>
  <c r="BB1" i="6" s="1"/>
  <c r="BC1" i="6" s="1"/>
  <c r="BD1" i="6" s="1"/>
  <c r="BE1" i="6" s="1"/>
  <c r="BF1" i="6" s="1"/>
  <c r="BG1" i="6" s="1"/>
  <c r="BH1" i="6" s="1"/>
  <c r="BI1" i="6" s="1"/>
  <c r="BJ1" i="6" s="1"/>
  <c r="BK1" i="6" s="1"/>
  <c r="BL1" i="6" s="1"/>
  <c r="BM1" i="6" s="1"/>
  <c r="BN1" i="6" s="1"/>
  <c r="BO1" i="6" s="1"/>
  <c r="BP1" i="6" s="1"/>
  <c r="BQ1" i="6" s="1"/>
  <c r="BR1" i="6" s="1"/>
  <c r="BS1" i="6" s="1"/>
  <c r="BT1" i="6" s="1"/>
  <c r="BU1" i="6" s="1"/>
  <c r="BV1" i="6" s="1"/>
  <c r="BW1" i="6" s="1"/>
  <c r="BX1" i="6" s="1"/>
  <c r="BY1" i="6" s="1"/>
  <c r="BZ1" i="6" s="1"/>
  <c r="CA1" i="6" s="1"/>
  <c r="CB1" i="6" s="1"/>
  <c r="CC1" i="6" s="1"/>
  <c r="CD1" i="6" s="1"/>
  <c r="CE1" i="6" s="1"/>
  <c r="CF1" i="6" s="1"/>
  <c r="CG1" i="6" s="1"/>
  <c r="CH1" i="6" s="1"/>
  <c r="CI1" i="6" s="1"/>
  <c r="CJ1" i="6" s="1"/>
  <c r="CK1" i="6" s="1"/>
  <c r="CL1" i="6" s="1"/>
  <c r="CM1" i="6" s="1"/>
  <c r="CN1" i="6" s="1"/>
  <c r="CO1" i="6" s="1"/>
  <c r="CP1" i="6" s="1"/>
  <c r="CQ1" i="6" s="1"/>
  <c r="CR1" i="6" s="1"/>
  <c r="CS1" i="6" s="1"/>
  <c r="CT1" i="6" s="1"/>
  <c r="CU1" i="6" s="1"/>
  <c r="CV1" i="6" s="1"/>
  <c r="CW1" i="6" s="1"/>
  <c r="CX1" i="6" s="1"/>
  <c r="CY1" i="6" s="1"/>
  <c r="CZ1" i="6" s="1"/>
  <c r="DA1" i="6" s="1"/>
  <c r="DB1" i="6" s="1"/>
  <c r="DC1" i="6" s="1"/>
  <c r="DD1" i="6" s="1"/>
  <c r="DE1" i="6" s="1"/>
  <c r="DF1" i="6" s="1"/>
  <c r="DG1" i="6" s="1"/>
  <c r="DH1" i="6" s="1"/>
  <c r="DI1" i="6" s="1"/>
  <c r="DJ1" i="6" s="1"/>
  <c r="DK1" i="6" s="1"/>
  <c r="DL1" i="6" s="1"/>
  <c r="DM1" i="6" s="1"/>
  <c r="DN1" i="6" s="1"/>
  <c r="DO1" i="6" s="1"/>
  <c r="DP1" i="6" s="1"/>
  <c r="DQ1" i="6" s="1"/>
  <c r="DR1" i="6" s="1"/>
  <c r="DS1" i="6" s="1"/>
  <c r="DT1" i="6" s="1"/>
  <c r="DU1" i="6" s="1"/>
  <c r="DV1" i="6" s="1"/>
  <c r="DW1" i="6" s="1"/>
  <c r="DX1" i="6" s="1"/>
  <c r="DY1" i="6" s="1"/>
  <c r="DZ1" i="6" s="1"/>
  <c r="EA1" i="6" s="1"/>
  <c r="EB1" i="6" s="1"/>
  <c r="E7" i="6" l="1"/>
  <c r="F7" i="6" s="1"/>
  <c r="F5" i="6"/>
  <c r="E26" i="6" l="1"/>
  <c r="F26" i="6" s="1"/>
  <c r="E25" i="6"/>
  <c r="F25" i="6" s="1"/>
  <c r="E10" i="6"/>
  <c r="F10" i="6" s="1"/>
  <c r="E9" i="6"/>
  <c r="F9" i="6" s="1"/>
  <c r="E8" i="6"/>
  <c r="F8" i="6" s="1"/>
  <c r="E11" i="6" l="1"/>
  <c r="F11" i="6" s="1"/>
  <c r="E27" i="6"/>
  <c r="F27" i="6" s="1"/>
  <c r="E28" i="6"/>
  <c r="F28" i="6" s="1"/>
  <c r="E30" i="6" l="1"/>
  <c r="F30" i="6" s="1"/>
  <c r="E29" i="6"/>
  <c r="F29" i="6" s="1"/>
  <c r="E14" i="6"/>
  <c r="F14" i="6" s="1"/>
  <c r="E12" i="6"/>
  <c r="F12" i="6" s="1"/>
  <c r="E13" i="6" s="1"/>
  <c r="F13" i="6" s="1"/>
  <c r="F6" i="6" s="1"/>
  <c r="E15" i="6" l="1"/>
  <c r="D6" i="6"/>
  <c r="E31" i="6"/>
  <c r="F31" i="6" s="1"/>
  <c r="E32" i="6"/>
  <c r="F32" i="6" s="1"/>
  <c r="E33" i="6" s="1"/>
  <c r="F33" i="6" s="1"/>
  <c r="F15" i="6" l="1"/>
  <c r="E17" i="6" s="1"/>
  <c r="E16" i="6"/>
  <c r="F16" i="6" s="1"/>
  <c r="E18" i="6" l="1"/>
  <c r="F18" i="6" s="1"/>
  <c r="E19" i="6" s="1"/>
  <c r="F19" i="6" s="1"/>
  <c r="F17" i="6"/>
  <c r="E20" i="6" s="1"/>
  <c r="F20" i="6" l="1"/>
  <c r="E22" i="6" s="1"/>
  <c r="F22" i="6" s="1"/>
  <c r="E21" i="6"/>
  <c r="F21" i="6" s="1"/>
  <c r="E23" i="6" s="1"/>
  <c r="F23" i="6" s="1"/>
  <c r="E24" i="6" s="1"/>
  <c r="F24" i="6" s="1"/>
</calcChain>
</file>

<file path=xl/sharedStrings.xml><?xml version="1.0" encoding="utf-8"?>
<sst xmlns="http://schemas.openxmlformats.org/spreadsheetml/2006/main" count="554" uniqueCount="445">
  <si>
    <t>Northwind Technologies – CRM Implementation</t>
  </si>
  <si>
    <t>Business analysis case study. Northwind Technologies and all names, dates and estimates are fictitious.</t>
  </si>
  <si>
    <t>1. Business problem</t>
  </si>
  <si>
    <t>Current situation</t>
  </si>
  <si>
    <t>Sales Representatives keep customer contacts in separate spreadsheets and inboxes. This causes duplicate and out-of-date records, no clear view of the sales pipeline, and missed meetings and follow-ups. Sales Managers have no easy way to report on team performance.</t>
  </si>
  <si>
    <t>Proposed solution</t>
  </si>
  <si>
    <t>A central CRM system with contact management, sales opportunity tracking, reporting dashboards, and Outlook email and calendar integration with automated reminders.</t>
  </si>
  <si>
    <t>2. Objectives and success measures (illustrative targets)</t>
  </si>
  <si>
    <t>Accurate contact data</t>
  </si>
  <si>
    <t>One central contact list; duplicate contacts below 2% three months after go-live.</t>
  </si>
  <si>
    <t>Pipeline visibility</t>
  </si>
  <si>
    <t>All open sales opportunities tracked in the CRM by sales stage.</t>
  </si>
  <si>
    <t>Faster reporting</t>
  </si>
  <si>
    <t>Sales Managers can produce a weekly sales report in under 10 minutes.</t>
  </si>
  <si>
    <t>Fewer missed follow-ups</t>
  </si>
  <si>
    <t>Automatic reminders for all booked meetings and follow-up tasks that are due.</t>
  </si>
  <si>
    <t>3. Scope</t>
  </si>
  <si>
    <t>In scope</t>
  </si>
  <si>
    <t>Contact management (including import and export); sales opportunity tracking; reporting and analytics dashboards; Outlook email and calendar integration with automated reminders; performance, security, privacy and audit NFRs.</t>
  </si>
  <si>
    <t>Out of scope (assumed)</t>
  </si>
  <si>
    <t>Marketing campaign automation; customer self-service portal; native mobile app; integration with finance or invoicing systems; migration of historical email archives.</t>
  </si>
  <si>
    <t>4. Delivery approach</t>
  </si>
  <si>
    <t>Method</t>
  </si>
  <si>
    <t>Scrum, 2-week sprints. 8 sprints (80 working days) plus 1 day for project closure = 81 working days.</t>
  </si>
  <si>
    <t>Planned start date</t>
  </si>
  <si>
    <t>Linked to the Gantt Chart (cell E4) – change the date there to move the whole plan.</t>
  </si>
  <si>
    <t>5. Stakeholders and project team</t>
  </si>
  <si>
    <t>Name</t>
  </si>
  <si>
    <t>Role</t>
  </si>
  <si>
    <t>Responsibility</t>
  </si>
  <si>
    <t>Emily Johnson</t>
  </si>
  <si>
    <t>Project Sponsor (assumed)</t>
  </si>
  <si>
    <t>Approves budget and scope; signs off project completion (milestone M5).</t>
  </si>
  <si>
    <t>Michael Lee</t>
  </si>
  <si>
    <t>Head of Sales / Business Owner (assumed)</t>
  </si>
  <si>
    <t>Represents sales team needs; signs off project completion (milestone M5).</t>
  </si>
  <si>
    <t>Sarah</t>
  </si>
  <si>
    <t>Product Owner</t>
  </si>
  <si>
    <t>Owns and prioritises the backlog; accepts stories; owns milestones M1–M4.</t>
  </si>
  <si>
    <t>David</t>
  </si>
  <si>
    <t>Scrum Master</t>
  </si>
  <si>
    <t>Runs Scrum events and removes blockers; leads project closure.</t>
  </si>
  <si>
    <t>Tom</t>
  </si>
  <si>
    <t>Business Analyst</t>
  </si>
  <si>
    <t>Elicits and refines requirements, stories and acceptance criteria; maintains traceability.</t>
  </si>
  <si>
    <t>Rachel</t>
  </si>
  <si>
    <t>UX/UI Designer</t>
  </si>
  <si>
    <t>Designs pages and user flows.</t>
  </si>
  <si>
    <t>Lisa</t>
  </si>
  <si>
    <t>Frontend Developer</t>
  </si>
  <si>
    <t>Builds user-facing pages.</t>
  </si>
  <si>
    <t>Mark</t>
  </si>
  <si>
    <t>Backend Developer</t>
  </si>
  <si>
    <t>Builds database, APIs and integrations.</t>
  </si>
  <si>
    <t>Alex</t>
  </si>
  <si>
    <t>QA / Tester</t>
  </si>
  <si>
    <t>Writes and runs test cases from acceptance criteria; performance testing.</t>
  </si>
  <si>
    <t>Sales Representatives</t>
  </si>
  <si>
    <t>End users</t>
  </si>
  <si>
    <t>Manage contacts and opportunities day to day.</t>
  </si>
  <si>
    <t>Sales Managers</t>
  </si>
  <si>
    <t>Use reports and dashboards to track team performance.</t>
  </si>
  <si>
    <t>6. Key assumptions</t>
  </si>
  <si>
    <t>•</t>
  </si>
  <si>
    <t>Northwind uses Microsoft Outlook for email and calendar.</t>
  </si>
  <si>
    <t>The Scrum team works full time on this project.</t>
  </si>
  <si>
    <t>Durations are in working days (Mon–Fri); NZ public holidays and the Christmas break are not included.</t>
  </si>
  <si>
    <t>Priorities, story points and success targets are illustrative for this exercise.</t>
  </si>
  <si>
    <t>7. How to read this workbook</t>
  </si>
  <si>
    <t>Requirements</t>
  </si>
  <si>
    <t>Functional requirements (REQ) and non-functional requirements (NFR).</t>
  </si>
  <si>
    <t>EPICS</t>
  </si>
  <si>
    <t>Four epics (EP-01 to EP-04), one per feature, with high-level acceptance criteria.</t>
  </si>
  <si>
    <t>User Stories</t>
  </si>
  <si>
    <t>EP-01 Contact Management split into 11 user stories with acceptance criteria, priority and story points.</t>
  </si>
  <si>
    <t>Roadmap</t>
  </si>
  <si>
    <t>High-level 17-week plan by phase.</t>
  </si>
  <si>
    <t>Gantt Chart</t>
  </si>
  <si>
    <t>Detailed schedule with owners, dependencies and milestones (formula-driven dates).</t>
  </si>
  <si>
    <t>Traceability Matrix</t>
  </si>
  <si>
    <t>Links each requirement to epics, user stories, tasks and test cases.</t>
  </si>
  <si>
    <t>Risk Log</t>
  </si>
  <si>
    <t>Key delivery risks with rating, mitigation and owner.</t>
  </si>
  <si>
    <t>Feature</t>
  </si>
  <si>
    <t>Req ID</t>
  </si>
  <si>
    <t xml:space="preserve">Contact Management </t>
  </si>
  <si>
    <t>REQ-01</t>
  </si>
  <si>
    <t>Enable sales representatives to list, view, add, edit, and delete customer contacts. Contact details must include customer name,  company name, email, phone, additional details.</t>
  </si>
  <si>
    <t>REQ-02</t>
  </si>
  <si>
    <t>Allow users to import and export contact lists.</t>
  </si>
  <si>
    <t xml:space="preserve">Sales Opportunity Tracking </t>
  </si>
  <si>
    <t>REQ-03</t>
  </si>
  <si>
    <t>Implement functionality for users to create and update sales opportunities.</t>
  </si>
  <si>
    <t>REQ-04</t>
  </si>
  <si>
    <t>Provide a visual sales pipeline to track opportunities through different stages of the sales cycle.</t>
  </si>
  <si>
    <t>Reporting and Analytics</t>
  </si>
  <si>
    <t>REQ-05</t>
  </si>
  <si>
    <t>Generate reports on sales performance and customer interactions.</t>
  </si>
  <si>
    <t>REQ-06</t>
  </si>
  <si>
    <t>Provide dashboard analytics to visualize sales data.</t>
  </si>
  <si>
    <t xml:space="preserve">Integration and Automation </t>
  </si>
  <si>
    <t>REQ-07</t>
  </si>
  <si>
    <t>Integrate the CRM with email and calendar systems.</t>
  </si>
  <si>
    <t>REQ-08</t>
  </si>
  <si>
    <t>Automate reminders and follow-up tasks for sales representatives.</t>
  </si>
  <si>
    <t xml:space="preserve">System Performance NFRs </t>
  </si>
  <si>
    <t>NFR-01</t>
  </si>
  <si>
    <t>The system should be able to handle at least 500 concurrent users without any degradation in performance.</t>
  </si>
  <si>
    <t>NFR-02</t>
  </si>
  <si>
    <t>Page load times for any CRM feature must not exceed 3 seconds under normal network conditions.</t>
  </si>
  <si>
    <t>Security &amp; Privacy NFRs</t>
  </si>
  <si>
    <t>NFR-03</t>
  </si>
  <si>
    <t>Role-based access: users can only edit and delete records they are allowed to. Sales Representatives can delete only contacts and opportunities they own; Sales Managers can delete any record and view team-wide reports.</t>
  </si>
  <si>
    <t>NFR-04</t>
  </si>
  <si>
    <t>Privacy: customer personal information must be handled in line with the NZ Privacy Act 2020. Data is encrypted in transit and at rest, access is limited to authorised users, and a contact's details can be exported or removed on request.</t>
  </si>
  <si>
    <t>NFR-05</t>
  </si>
  <si>
    <t>Audit trail: the system records who created, changed or deleted each contact and opportunity, and when. Audit records are kept for at least 2 years.</t>
  </si>
  <si>
    <t>Epic ID</t>
  </si>
  <si>
    <t>EPIC</t>
  </si>
  <si>
    <t>EP-01</t>
  </si>
  <si>
    <t>As a Sales Representative, I want to manage all customer contacts in one central place, so that customer information is accurate, up to date and free of duplicates.
Acceptance criteria:
EP-01-01: Sales Representatives can list, view, add, edit and delete customer contacts (customer name, company name, email, phone and additional details).
EP-01-02: Users can import and export contact lists.</t>
  </si>
  <si>
    <t>EP-02</t>
  </si>
  <si>
    <t>As a Sales Representative, I want to create and update sales opportunities and see them by sales stage, so that I can prioritise leads and close deals faster.
Acceptance criteria:
EP-02-01: Users can create a sales opportunity linked to a contact and update its stage, value and expected close date.
EP-02-02: A dashboard shows all opportunities grouped by stage of the sales cycle (e.g. Lead, Qualified, Proposal, Won, Lost).</t>
  </si>
  <si>
    <t>EP-03</t>
  </si>
  <si>
    <t>As a Sales Manager, I want to view dashboard analytics and sales reports, so that I can understand team performance and customer interactions and make better decisions.
Acceptance criteria:
EP-03-01: Sales Managers can view dashboard analytics that show team performance and customer interactions.
EP-03-02: Sales Managers can generate and download sales reports.</t>
  </si>
  <si>
    <t>EP-04</t>
  </si>
  <si>
    <t>As a Sales Representative, I want the CRM to connect with my Outlook email and calendar and send me automatic reminders, so that I never miss a meeting or a customer follow-up.
Acceptance criteria:
EP-04-01: The CRM syncs with Outlook email and calendar; meetings booked in the CRM appear in Outlook, and customer emails are logged against the contact.
EP-04-02: The system sends automatic reminders for upcoming meetings and follow-up tasks that are due.</t>
  </si>
  <si>
    <t>ID</t>
  </si>
  <si>
    <t>User Story Title</t>
  </si>
  <si>
    <t>User Story Description</t>
  </si>
  <si>
    <t>Relates to Epic</t>
  </si>
  <si>
    <t>AC ID</t>
  </si>
  <si>
    <t>Acceptance Criteria</t>
  </si>
  <si>
    <t>Priority (MoSCoW)</t>
  </si>
  <si>
    <t>Story Points</t>
  </si>
  <si>
    <t>US-01</t>
  </si>
  <si>
    <t>List Customer Contacts</t>
  </si>
  <si>
    <t>As a Sales Representative, I want to see a list of all customer contacts, so that I can quickly find the customer I need to contact.</t>
  </si>
  <si>
    <t>US-01-01</t>
  </si>
  <si>
    <t>The list shows customer name, company name, email and phone for each contact.</t>
  </si>
  <si>
    <t>Must</t>
  </si>
  <si>
    <t>US-01-02</t>
  </si>
  <si>
    <t>The list shows 25 contacts per page, sorted A–Z by customer name by default; the user can sort by any column.</t>
  </si>
  <si>
    <t>US-01-03</t>
  </si>
  <si>
    <t>If there are no contacts, the message "No contacts found. Add your first contact." is shown with an Add Contact button.</t>
  </si>
  <si>
    <t>US-01-04</t>
  </si>
  <si>
    <t>If the list cannot load (system error), an error message with a Retry button is shown and no partial data is displayed.</t>
  </si>
  <si>
    <t>US-02</t>
  </si>
  <si>
    <t>View Contact Details</t>
  </si>
  <si>
    <t>As a Sales Representative, I want to open a contact and see all of its details, so that I have the full customer information before I call or email them.</t>
  </si>
  <si>
    <t>US-02-01</t>
  </si>
  <si>
    <t>Clicking a contact in the list opens a detail page showing customer name, company name, email, phone and additional details.</t>
  </si>
  <si>
    <t>US-02-02</t>
  </si>
  <si>
    <t>The detail page shows the date the contact was created and when (and by whom) it was last updated.</t>
  </si>
  <si>
    <t>US-02-03</t>
  </si>
  <si>
    <t>If the contact no longer exists (e.g. deleted by another user), the message "This contact is no longer available" is shown and the user returns to the list.</t>
  </si>
  <si>
    <t>US-03</t>
  </si>
  <si>
    <t>Add New Contact</t>
  </si>
  <si>
    <t>As a Sales Representative, I want to add a new customer contact, so that every new customer is recorded in one central place.</t>
  </si>
  <si>
    <t>US-03-01</t>
  </si>
  <si>
    <t>An Add Contact form has fields for customer name, company name, email, phone and additional details; customer name and email are mandatory.</t>
  </si>
  <si>
    <t>US-03-02</t>
  </si>
  <si>
    <t>Given the Add Contact form has valid details, When the user clicks Save, Then the contact is stored, appears in the contact list, and the message "Contact added" is shown.</t>
  </si>
  <si>
    <t>US-03-03</t>
  </si>
  <si>
    <t>When the user clicks Cancel, the form closes and nothing is saved.</t>
  </si>
  <si>
    <t>US-04</t>
  </si>
  <si>
    <t>Validate Contact Details</t>
  </si>
  <si>
    <t>As a Sales Representative, I want the system to check contact details when I add or edit a contact, so that records stay accurate and duplicates are avoided.</t>
  </si>
  <si>
    <t>US-04-01</t>
  </si>
  <si>
    <t>If a mandatory field is empty, the contact is not saved and the field is highlighted with the message "This field is required".</t>
  </si>
  <si>
    <t>US-04-02</t>
  </si>
  <si>
    <t>If the email format is invalid or the phone number contains letters, an error message is shown and the contact is not saved.</t>
  </si>
  <si>
    <t>US-04-03</t>
  </si>
  <si>
    <t>Given a contact with the same email already exists, When the user tries to save a contact with that email, Then the warning "A contact with this email already exists" is shown with a link to the existing contact, and no duplicate is created.</t>
  </si>
  <si>
    <t>US-05</t>
  </si>
  <si>
    <t>Edit Contact</t>
  </si>
  <si>
    <t>As a Sales Representative, I want to edit a contact's details, so that customer information stays up to date.</t>
  </si>
  <si>
    <t>US-05-01</t>
  </si>
  <si>
    <t>The user can click Edit on the contact detail page, change any field and save the changes.</t>
  </si>
  <si>
    <t>US-05-02</t>
  </si>
  <si>
    <t>The same validation rules as US-04 apply when editing.</t>
  </si>
  <si>
    <t>US-05-03</t>
  </si>
  <si>
    <t>After saving, the updated details show in the list and detail page, and the "last updated" date and user are refreshed.</t>
  </si>
  <si>
    <t>US-05-04</t>
  </si>
  <si>
    <t>If saving fails (system error), the user's changes are kept on screen, an error message is shown and the user can try again.</t>
  </si>
  <si>
    <t>US-06</t>
  </si>
  <si>
    <t>Delete Contact</t>
  </si>
  <si>
    <t>As a Sales Representative, I want to delete a contact I no longer need, so that the contact list stays clean and relevant.</t>
  </si>
  <si>
    <t>US-06-01</t>
  </si>
  <si>
    <t>When the user clicks Delete, a confirmation message "Are you sure you want to delete this contact?" is shown.</t>
  </si>
  <si>
    <t>Should</t>
  </si>
  <si>
    <t>US-06-02</t>
  </si>
  <si>
    <t>If the user confirms, the contact is removed from the list and the message "Contact deleted" is shown.</t>
  </si>
  <si>
    <t>US-06-03</t>
  </si>
  <si>
    <t>If the user cancels, the contact is not deleted.</t>
  </si>
  <si>
    <t>US-06-04</t>
  </si>
  <si>
    <t>Given the contact is linked to an open sales opportunity, When the user clicks Delete, Then a warning is shown and the user must confirm before the contact is deleted.</t>
  </si>
  <si>
    <t>US-07</t>
  </si>
  <si>
    <t>Search and Filter Contacts</t>
  </si>
  <si>
    <t>As a Sales Representative, I want to search and filter contacts, so that I can find a customer quickly in a large list.</t>
  </si>
  <si>
    <t>US-07-01</t>
  </si>
  <si>
    <t>The user can search by customer name, company name or email; results update after at least 2 characters are typed.</t>
  </si>
  <si>
    <t>US-07-02</t>
  </si>
  <si>
    <t>The user can filter the list by company name.</t>
  </si>
  <si>
    <t>US-07-03</t>
  </si>
  <si>
    <t>If no contacts match, the message "No matching contacts found" is shown.</t>
  </si>
  <si>
    <t>US-08</t>
  </si>
  <si>
    <t>Import Contacts</t>
  </si>
  <si>
    <t>As a Sales Representative, I want to import contacts from a CSV or Excel file, so that I can move existing spreadsheet data into the CRM without retyping it.</t>
  </si>
  <si>
    <t>US-08-01</t>
  </si>
  <si>
    <t>The user can download an import template and upload a .csv or .xlsx file up to 5 MB.</t>
  </si>
  <si>
    <t>US-08-02</t>
  </si>
  <si>
    <t>Before importing, the system shows a preview of the data and lets the user match file columns to contact fields.</t>
  </si>
  <si>
    <t>US-08-03</t>
  </si>
  <si>
    <t>After import, a summary shows how many contacts were imported, skipped and failed.</t>
  </si>
  <si>
    <t>US-09</t>
  </si>
  <si>
    <t>Handle Import Errors</t>
  </si>
  <si>
    <t>As a Sales Representative, I want the system to tell me which rows could not be imported and why, so that I can fix my file and avoid bad or duplicate data.</t>
  </si>
  <si>
    <t>US-09-01</t>
  </si>
  <si>
    <t>Unsupported file types or files over 5 MB are rejected with a clear error message.</t>
  </si>
  <si>
    <t>US-09-02</t>
  </si>
  <si>
    <t>Given the import file has rows with missing mandatory fields or an invalid email, When the user imports the file, Then those rows are skipped and listed in an error report the user can download.</t>
  </si>
  <si>
    <t>US-09-03</t>
  </si>
  <si>
    <t>Rows whose email matches an existing contact are flagged as duplicates, and the user chooses to skip or update them.</t>
  </si>
  <si>
    <t>US-10</t>
  </si>
  <si>
    <t>Export Contacts</t>
  </si>
  <si>
    <t>As a Sales Representative, I want to export contacts to a CSV or Excel file, so that I can share them or use them in other tools.</t>
  </si>
  <si>
    <t>US-10-01</t>
  </si>
  <si>
    <t>The user can export all contacts, or only the current search/filter results, to .csv or .xlsx.</t>
  </si>
  <si>
    <t>US-10-02</t>
  </si>
  <si>
    <t>The exported file includes column headers and all contact fields (customer name, company name, email, phone, additional details).</t>
  </si>
  <si>
    <t>US-10-03</t>
  </si>
  <si>
    <t>If there are no contacts to export, the Export button is disabled.</t>
  </si>
  <si>
    <t>US-11</t>
  </si>
  <si>
    <t>Contact Module Performance</t>
  </si>
  <si>
    <t>As a Sales Representative, I want contact pages to load quickly even when the whole team is using the CRM, so that I can serve customers without delays.</t>
  </si>
  <si>
    <t>US-11-01</t>
  </si>
  <si>
    <t>Load testing shows the contact module supports at least 500 concurrent users with no drop in performance.</t>
  </si>
  <si>
    <t>US-11-02</t>
  </si>
  <si>
    <t>The contact list, detail, add and edit pages load in 3 seconds or less under normal network conditions.</t>
  </si>
  <si>
    <t>Notes: Priority uses MoSCoW (Must / Should / Could / Won't). Story points use the Fibonacci scale (1, 2, 3, 5, 8) and are illustrative estimates for this exercise, sized to match the Gantt chart durations. Acceptance criteria use two styles: rule-based statements and Given / When / Then (see US-03-02, US-04-03, US-06-04, US-09-02).</t>
  </si>
  <si>
    <t>Phase/Key Milestone</t>
  </si>
  <si>
    <t>Duration</t>
  </si>
  <si>
    <t>Week _01</t>
  </si>
  <si>
    <t>Week _02</t>
  </si>
  <si>
    <t>Week _03</t>
  </si>
  <si>
    <t>Week _04</t>
  </si>
  <si>
    <t>Week _05</t>
  </si>
  <si>
    <t>Week _06</t>
  </si>
  <si>
    <t>Week _07</t>
  </si>
  <si>
    <t>Week _08</t>
  </si>
  <si>
    <t>Week _09</t>
  </si>
  <si>
    <t>Week _10</t>
  </si>
  <si>
    <t>Week _11</t>
  </si>
  <si>
    <t>Week _12</t>
  </si>
  <si>
    <t>Week _13</t>
  </si>
  <si>
    <t>Week _14</t>
  </si>
  <si>
    <t>Week _15</t>
  </si>
  <si>
    <t>Week _16</t>
  </si>
  <si>
    <t>Week _17</t>
  </si>
  <si>
    <t xml:space="preserve">Contact Management: Sales representatives can manage customer contacts easily. </t>
  </si>
  <si>
    <t>20 days</t>
  </si>
  <si>
    <t>Sales Opportunity Tracking: Users can track sales opportunities and update their status.</t>
  </si>
  <si>
    <t>10 days</t>
  </si>
  <si>
    <t>Reporting and Analytics: Sales managers can gain insights into team performance and customer interactions.</t>
  </si>
  <si>
    <t>30 days</t>
  </si>
  <si>
    <t xml:space="preserve">Integration and Automation: CRM integrated with Outlook email &amp; calendar, sales staff receive automated reminders about meetings and tasks </t>
  </si>
  <si>
    <t>Project Closure</t>
  </si>
  <si>
    <t>1 day</t>
  </si>
  <si>
    <t>Total</t>
  </si>
  <si>
    <t>81 days</t>
  </si>
  <si>
    <t>Calendar date of each day column →</t>
  </si>
  <si>
    <t>Project : Northwind Technologies CRM Implementation</t>
  </si>
  <si>
    <t>Resource</t>
  </si>
  <si>
    <t>Start</t>
  </si>
  <si>
    <t>End</t>
  </si>
  <si>
    <t>Sprint 1</t>
  </si>
  <si>
    <t>Sprint 2</t>
  </si>
  <si>
    <t>Sprint 3</t>
  </si>
  <si>
    <t>Sprint 4</t>
  </si>
  <si>
    <t>Sprint 5</t>
  </si>
  <si>
    <t>Sprint 6</t>
  </si>
  <si>
    <t>Sprint 7</t>
  </si>
  <si>
    <t>Sprint 8</t>
  </si>
  <si>
    <t>Sprint 9</t>
  </si>
  <si>
    <t>Ref</t>
  </si>
  <si>
    <t>Phase, User Story/Task</t>
  </si>
  <si>
    <t>Role or person</t>
  </si>
  <si>
    <t>Days</t>
  </si>
  <si>
    <t>Date</t>
  </si>
  <si>
    <t>Project start date (Monday) – edit cell E4 to move the whole plan →</t>
  </si>
  <si>
    <t>1.0</t>
  </si>
  <si>
    <t>Phase 1: Contact Management (Epic EP-01)</t>
  </si>
  <si>
    <t>Scrum Team</t>
  </si>
  <si>
    <t>1.1</t>
  </si>
  <si>
    <t>US-01 List Customer Contacts</t>
  </si>
  <si>
    <t>TASK-01</t>
  </si>
  <si>
    <t xml:space="preserve">   Refine story &amp; acceptance criteria with Product Owner</t>
  </si>
  <si>
    <t>Tom (BA)</t>
  </si>
  <si>
    <t>TASK-02</t>
  </si>
  <si>
    <t xml:space="preserve">   "Contact list" page design (after TASK-01)</t>
  </si>
  <si>
    <t>Rachel (UX/UI)</t>
  </si>
  <si>
    <t>TASK-03</t>
  </si>
  <si>
    <t xml:space="preserve">   Contacts database table &amp; list API – paging, sorting (after TASK-01)</t>
  </si>
  <si>
    <t>Mark (Backend)</t>
  </si>
  <si>
    <t>TASK-04</t>
  </si>
  <si>
    <t xml:space="preserve">   Write test cases from acceptance criteria (after TASK-01)</t>
  </si>
  <si>
    <t>Alex (QA)</t>
  </si>
  <si>
    <t>TASK-05</t>
  </si>
  <si>
    <t xml:space="preserve">   Build contact list page – table, paging, empty &amp; error states (after TASK-02, TASK-03)</t>
  </si>
  <si>
    <t>Lisa (Frontend)</t>
  </si>
  <si>
    <t>TASK-06</t>
  </si>
  <si>
    <t xml:space="preserve">   Test and fix bugs (after TASK-05)</t>
  </si>
  <si>
    <t>Alex (QA), Lisa, Mark</t>
  </si>
  <si>
    <t>TASK-07</t>
  </si>
  <si>
    <t xml:space="preserve">   Story review &amp; acceptance sign-off (after TASK-06)</t>
  </si>
  <si>
    <t>Tom (BA), Sarah (PO)</t>
  </si>
  <si>
    <t>1.2</t>
  </si>
  <si>
    <t>US-02 View Contact Details (after TASK-05)</t>
  </si>
  <si>
    <t>1.3</t>
  </si>
  <si>
    <t>US-03 Add New Contact (after US-01)</t>
  </si>
  <si>
    <t>1.4</t>
  </si>
  <si>
    <t>US-04 Validate Contact Details (starts 1 day after US-03)</t>
  </si>
  <si>
    <t>1.5</t>
  </si>
  <si>
    <t>US-05 Edit Contact (after US-03)</t>
  </si>
  <si>
    <t>1.6</t>
  </si>
  <si>
    <t>US-06 Delete Contact (starts 1 day after US-05)</t>
  </si>
  <si>
    <t>1.7</t>
  </si>
  <si>
    <t>US-07 Search and Filter Contacts (after US-06)</t>
  </si>
  <si>
    <t>1.8</t>
  </si>
  <si>
    <t>US-08 Import Contacts (after US-05)</t>
  </si>
  <si>
    <t>1.9</t>
  </si>
  <si>
    <t>US-09 Handle Import Errors (starts 2 days after US-08)</t>
  </si>
  <si>
    <t>1.10</t>
  </si>
  <si>
    <t>US-10 Export Contacts (after US-08)</t>
  </si>
  <si>
    <t>1.11</t>
  </si>
  <si>
    <t>US-11 Contact Module Performance testing (after US-09)</t>
  </si>
  <si>
    <t>Alex (QA), Mark</t>
  </si>
  <si>
    <t>1.12</t>
  </si>
  <si>
    <t>Regression testing, Sprint review &amp; demo (after US-11)</t>
  </si>
  <si>
    <t>M1</t>
  </si>
  <si>
    <t>◆ Milestone: Contact Management module complete</t>
  </si>
  <si>
    <t>Sarah (PO)</t>
  </si>
  <si>
    <t>2.0</t>
  </si>
  <si>
    <t>Phase 2: Sales Opportunity Tracking (Epic EP-02)</t>
  </si>
  <si>
    <t>M2</t>
  </si>
  <si>
    <t>◆ Milestone: Sales Opportunity Tracking live</t>
  </si>
  <si>
    <t>3.0</t>
  </si>
  <si>
    <t>Phase 3: Reporting and Analytics (Epic EP-03)</t>
  </si>
  <si>
    <t>M3</t>
  </si>
  <si>
    <t>◆ Milestone: Analytics dashboard launch</t>
  </si>
  <si>
    <t>4.0</t>
  </si>
  <si>
    <t>Phase 4: Integration and Automation (Epic EP-04)</t>
  </si>
  <si>
    <t>M4</t>
  </si>
  <si>
    <t>◆ Milestone: Outlook integration &amp; automated reminders live</t>
  </si>
  <si>
    <t>5.0</t>
  </si>
  <si>
    <t>Phase 5: Project Closure – handover &amp; lessons learned</t>
  </si>
  <si>
    <t>David (SM), Sarah (PO)</t>
  </si>
  <si>
    <t>M5</t>
  </si>
  <si>
    <t>◆ Milestone: Project complete</t>
  </si>
  <si>
    <t>Emily Johnson, Michael Lee</t>
  </si>
  <si>
    <t>Legend:</t>
  </si>
  <si>
    <t>Phase</t>
  </si>
  <si>
    <t>User Story</t>
  </si>
  <si>
    <t>Task (US-01 List Customer Contacts)</t>
  </si>
  <si>
    <t>Milestone</t>
  </si>
  <si>
    <t>Weekend (no work planned)</t>
  </si>
  <si>
    <t>Assumptions:</t>
  </si>
  <si>
    <t>• Durations are in working days (Mon–Fri). 1 sprint = 2 weeks = 10 working days. Each day column is one calendar day.</t>
  </si>
  <si>
    <t>• Dependencies are written in brackets after each item and are built into the Start date formulas (WORKDAY).</t>
  </si>
  <si>
    <t>• Public holidays (e.g. NZ Labour Day, Christmas/New Year) are not included – estimates are fictitious for this exercise.</t>
  </si>
  <si>
    <t>User Story IDs</t>
  </si>
  <si>
    <t>Task IDs</t>
  </si>
  <si>
    <t>Test IDs</t>
  </si>
  <si>
    <t>Test Execution notes</t>
  </si>
  <si>
    <t>EP-01 (Epic)
US-01, US-02, US-03, US-04, US-05, US-06, US-07</t>
  </si>
  <si>
    <t>TASK-01 to TASK-07 (US-01)
Other stories: tasks defined at sprint planning</t>
  </si>
  <si>
    <t>EP-01-01
US-01-01, US-01-02, US-01-03, US-01-04
US-02-01, US-02-02, US-02-03
US-03-01, US-03-02, US-03-03
US-04-01, US-04-02, US-04-03
US-05-01, US-05-02, US-05-03, US-05-04
US-06-01, US-06-02, US-06-03, US-06-04
US-07-01, US-07-02, US-07-03</t>
  </si>
  <si>
    <t>Not yet executed. Planned for Sprint 1–2 testing; US-01 tests run with TASK-06.</t>
  </si>
  <si>
    <t>EP-01 (Epic)
US-08, US-09, US-10</t>
  </si>
  <si>
    <t>Tasks defined at Sprint 2 planning</t>
  </si>
  <si>
    <t>EP-01-02
US-08-01, US-08-02, US-08-03
US-09-01, US-09-02, US-09-03
US-10-01, US-10-02, US-10-03</t>
  </si>
  <si>
    <t>Not yet executed. Planned for Sprint 2 testing.</t>
  </si>
  <si>
    <t>EP-02 (Epic)</t>
  </si>
  <si>
    <t>Tasks defined at Sprint 3 planning</t>
  </si>
  <si>
    <t>EP-02-01</t>
  </si>
  <si>
    <t>Not yet executed. Epic to be split into user stories before Sprint 3.</t>
  </si>
  <si>
    <t>EP-02-02</t>
  </si>
  <si>
    <t>EP-03 (Epic)</t>
  </si>
  <si>
    <t>Tasks defined at Sprint 4 planning</t>
  </si>
  <si>
    <t>EP-03-02</t>
  </si>
  <si>
    <t>Not yet executed. Epic to be split into user stories before Sprint 4.</t>
  </si>
  <si>
    <t>EP-03-01</t>
  </si>
  <si>
    <t>EP-04 (Epic)</t>
  </si>
  <si>
    <t>Tasks defined at Sprint 7 planning</t>
  </si>
  <si>
    <t>EP-04-01</t>
  </si>
  <si>
    <t>Not yet executed. Epic to be split into user stories before Sprint 7.</t>
  </si>
  <si>
    <t>EP-04-02</t>
  </si>
  <si>
    <t>System Performance</t>
  </si>
  <si>
    <t>US-11 (applies to all features)</t>
  </si>
  <si>
    <t>Performance testing tasks (US-11)</t>
  </si>
  <si>
    <t>Not yet executed. Load test in Sprint 2; repeat at end of each phase.</t>
  </si>
  <si>
    <t>Not yet executed. Page load test in Sprint 2; repeat at end of each phase.</t>
  </si>
  <si>
    <t>Security &amp; Privacy</t>
  </si>
  <si>
    <t>Applies to all features; delete rules apply to US-06 Delete Contact</t>
  </si>
  <si>
    <t>Defined at sprint planning</t>
  </si>
  <si>
    <t>To be written: role permission tests (rep vs manager)</t>
  </si>
  <si>
    <t>Not yet executed. Permission tests planned from Sprint 1 and repeated each phase.</t>
  </si>
  <si>
    <t>Applies to all features (US-01 to US-11, EP-02 to EP-04)</t>
  </si>
  <si>
    <t>To be written: privacy &amp; security review checklist</t>
  </si>
  <si>
    <t>Not yet executed. Privacy review planned before each phase goes live.</t>
  </si>
  <si>
    <t>US-02 View Contact Details, US-05 Edit Contact (partial)</t>
  </si>
  <si>
    <t>US-02-02, US-05-03 (partial); full audit tests to be written</t>
  </si>
  <si>
    <t>Not yet executed. Partly tested in Sprint 1–2 with US-02 and US-05.</t>
  </si>
  <si>
    <t>Notes: each acceptance criterion is one test case (direct mapping). Test IDs match the acceptance criteria IDs on the EPICS and User Stories tabs. ID format used across the workbook: REQ-xx (functional requirement), NFR-xx (non-functional requirement), EP-xx (epic), US-xx (user story), US-xx-yy (acceptance criterion / test case), TASK-xx (task).</t>
  </si>
  <si>
    <t>Risk ID</t>
  </si>
  <si>
    <t>Risk description</t>
  </si>
  <si>
    <t>Likelihood (1–3)</t>
  </si>
  <si>
    <t>Impact (1–3)</t>
  </si>
  <si>
    <t>Score</t>
  </si>
  <si>
    <t>Rating</t>
  </si>
  <si>
    <t>Mitigation</t>
  </si>
  <si>
    <t>Owner</t>
  </si>
  <si>
    <t>Status</t>
  </si>
  <si>
    <t>R-01</t>
  </si>
  <si>
    <t>No buffer at the end of Sprint 2: the 11 Contact Management stories only fit in 20 days if they run in parallel. Any delay pushes Phases 2–4 out.</t>
  </si>
  <si>
    <t>Deliver Must stories first; move Should stories to a later sprint if needed; track the sprint burndown daily.</t>
  </si>
  <si>
    <t>Open</t>
  </si>
  <si>
    <t>R-02</t>
  </si>
  <si>
    <t>NZ public holidays and the Christmas/New Year break fall inside the plan but are not in the schedule, so the real end date will be later.</t>
  </si>
  <si>
    <t>Add holidays to the WORKDAY calendar; agree a revised end date with the Project Sponsor.</t>
  </si>
  <si>
    <t>David (SM)</t>
  </si>
  <si>
    <t>R-03</t>
  </si>
  <si>
    <t>Outlook email and calendar integration is more complex than estimated (access permissions, sync conflicts).</t>
  </si>
  <si>
    <t>Run a technical spike in Sprint 6, before Phase 4 starts; confirm Microsoft 365 access early.</t>
  </si>
  <si>
    <t>R-04</t>
  </si>
  <si>
    <t>Poor quality data in existing spreadsheets causes failed imports and duplicate contacts.</t>
  </si>
  <si>
    <t>Import template, preview and error report (US-08, US-09); data clean-up with the sales team before go-live.</t>
  </si>
  <si>
    <t>R-05</t>
  </si>
  <si>
    <t>Low user adoption: Sales Representatives keep using spreadsheets instead of the CRM.</t>
  </si>
  <si>
    <t>Involve reps in sprint reviews; training at the end of each phase; managers report only from CRM data.</t>
  </si>
  <si>
    <t>R-06</t>
  </si>
  <si>
    <t>Breach of customer personal information.</t>
  </si>
  <si>
    <t>Apply NFR-03 (role-based access) and NFR-04 (privacy); security review before each go-live.</t>
  </si>
  <si>
    <t>Scoring: Score = Likelihood × Impact (1 = low, 3 = high). Rating: 6–9 High, 3–5 Medium, 1–2 Low. Blue numbers are inputs; Score and Rating are formulas.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</si>
</sst>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 mmm\ yyyy"/>
    <numFmt numFmtId="165" formatCode="dd/mm"/>
    <numFmt numFmtId="166" formatCode="m/d/yyyy"/>
    <numFmt numFmtId="167" formatCode="dd/mm/yy"/>
  </numFmts>
  <fonts count="27" x14ac:knownFonts="1">
    <font>
      <sz val="11"/>
      <color theme="1"/>
      <name val="Aptos Narrow"/>
      <charset val="1"/>
    </font>
    <font>
      <i/>
      <sz val="10"/>
      <name val="Aptos"/>
      <charset val="1"/>
    </font>
    <font>
      <b/>
      <sz val="11"/>
      <name val="Aptos"/>
      <charset val="1"/>
    </font>
    <font>
      <sz val="11"/>
      <name val="Aptos"/>
      <charset val="1"/>
    </font>
    <font>
      <b/>
      <sz val="12"/>
      <color theme="1"/>
      <name val="Aptos"/>
      <charset val="1"/>
    </font>
    <font>
      <sz val="12"/>
      <color theme="1"/>
      <name val="Aptos"/>
      <charset val="1"/>
    </font>
    <font>
      <sz val="11"/>
      <name val="Arial"/>
      <charset val="1"/>
    </font>
    <font>
      <b/>
      <sz val="11"/>
      <name val="Aptos Narrow"/>
      <charset val="1"/>
    </font>
    <font>
      <sz val="11"/>
      <name val="Aptos Narrow"/>
      <charset val="1"/>
    </font>
    <font>
      <b/>
      <sz val="11"/>
      <color theme="1"/>
      <name val="Aptos Narrow"/>
      <charset val="1"/>
    </font>
    <font>
      <i/>
      <sz val="9"/>
      <name val="Aptos Narrow"/>
      <charset val="1"/>
    </font>
    <font>
      <sz val="7"/>
      <name val="Aptos Narrow"/>
      <charset val="1"/>
    </font>
    <font>
      <b/>
      <sz val="11"/>
      <color rgb="FF000000"/>
      <name val="Aptos Narrow"/>
      <charset val="1"/>
    </font>
    <font>
      <b/>
      <sz val="12"/>
      <color rgb="FF000000"/>
      <name val="Aptos Narrow"/>
      <charset val="1"/>
    </font>
    <font>
      <b/>
      <sz val="10"/>
      <color rgb="FF000000"/>
      <name val="Aptos Narrow"/>
      <charset val="1"/>
    </font>
    <font>
      <i/>
      <sz val="10"/>
      <name val="Aptos Narrow"/>
      <charset val="1"/>
    </font>
    <font>
      <b/>
      <sz val="11"/>
      <color rgb="FF0000FF"/>
      <name val="Aptos Narrow"/>
      <charset val="1"/>
    </font>
    <font>
      <sz val="12"/>
      <color rgb="FF000000"/>
      <name val="Aptos Narrow"/>
      <charset val="1"/>
    </font>
    <font>
      <sz val="11"/>
      <color rgb="FF000000"/>
      <name val="Aptos Narrow"/>
      <charset val="1"/>
    </font>
    <font>
      <b/>
      <sz val="11"/>
      <color rgb="FF7F6000"/>
      <name val="Aptos Narrow"/>
      <charset val="1"/>
    </font>
    <font>
      <sz val="11"/>
      <color rgb="FF0000FF"/>
      <name val="Aptos"/>
      <charset val="1"/>
    </font>
    <font>
      <b/>
      <sz val="12"/>
      <name val="Times New Roman"/>
      <family val="1"/>
    </font>
    <font>
      <sz val="12"/>
      <color theme="1"/>
      <name val="Times New Roman"/>
      <family val="1"/>
    </font>
    <font>
      <i/>
      <sz val="12"/>
      <name val="Times New Roman"/>
      <family val="1"/>
    </font>
    <font>
      <sz val="12"/>
      <name val="Times New Roman"/>
      <family val="1"/>
    </font>
    <font>
      <b/>
      <sz val="14"/>
      <name val="Times New Roman"/>
      <family val="1"/>
    </font>
    <font>
      <sz val="14"/>
      <color theme="1"/>
      <name val="Times New Roman"/>
      <family val="1"/>
    </font>
  </fonts>
  <fills count="15">
    <fill>
      <patternFill patternType="none"/>
    </fill>
    <fill>
      <patternFill patternType="gray125"/>
    </fill>
    <fill>
      <patternFill patternType="solid">
        <fgColor rgb="FF83CAEB"/>
        <bgColor rgb="FF9DC3E6"/>
      </patternFill>
    </fill>
    <fill>
      <patternFill patternType="solid">
        <fgColor rgb="FFD9D9D9"/>
        <bgColor rgb="FFD8D8D8"/>
      </patternFill>
    </fill>
    <fill>
      <patternFill patternType="solid">
        <fgColor rgb="FFD8D8D8"/>
        <bgColor rgb="FFD9D9D9"/>
      </patternFill>
    </fill>
    <fill>
      <patternFill patternType="solid">
        <fgColor rgb="FF1F4E79"/>
        <bgColor rgb="FF003366"/>
      </patternFill>
    </fill>
    <fill>
      <patternFill patternType="solid">
        <fgColor rgb="FF2E75B6"/>
        <bgColor rgb="FF0066CC"/>
      </patternFill>
    </fill>
    <fill>
      <patternFill patternType="solid">
        <fgColor rgb="FF5B9BD5"/>
        <bgColor rgb="FF969696"/>
      </patternFill>
    </fill>
    <fill>
      <patternFill patternType="solid">
        <fgColor rgb="FF9DC3E6"/>
        <bgColor rgb="FF83CAEB"/>
      </patternFill>
    </fill>
    <fill>
      <patternFill patternType="solid">
        <fgColor rgb="FFC00000"/>
        <bgColor rgb="FF800000"/>
      </patternFill>
    </fill>
    <fill>
      <patternFill patternType="solid">
        <fgColor rgb="FFFFFF00"/>
        <bgColor rgb="FFFFFF00"/>
      </patternFill>
    </fill>
    <fill>
      <patternFill patternType="solid">
        <fgColor rgb="FFDDEBF7"/>
        <bgColor rgb="FFEDEDED"/>
      </patternFill>
    </fill>
    <fill>
      <patternFill patternType="solid">
        <fgColor rgb="FFF4B183"/>
        <bgColor rgb="FFFF99CC"/>
      </patternFill>
    </fill>
    <fill>
      <patternFill patternType="solid">
        <fgColor rgb="FFFFC000"/>
        <bgColor rgb="FFFF9900"/>
      </patternFill>
    </fill>
    <fill>
      <patternFill patternType="solid">
        <fgColor rgb="FFEDEDED"/>
        <bgColor rgb="FFDDEBF7"/>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FBFBF"/>
      </left>
      <right style="thin">
        <color rgb="FFBFBFBF"/>
      </right>
      <top style="thin">
        <color rgb="FFBFBFBF"/>
      </top>
      <bottom style="thin">
        <color rgb="FFBFBFBF"/>
      </bottom>
      <diagonal/>
    </border>
    <border>
      <left/>
      <right style="thin">
        <color auto="1"/>
      </right>
      <top style="thin">
        <color auto="1"/>
      </top>
      <bottom style="thin">
        <color auto="1"/>
      </bottom>
      <diagonal/>
    </border>
    <border>
      <left style="thin">
        <color rgb="FFBFBFBF"/>
      </left>
      <right style="thin">
        <color rgb="FFBFBFBF"/>
      </right>
      <top/>
      <bottom style="thin">
        <color rgb="FFBFBFBF"/>
      </bottom>
      <diagonal/>
    </border>
  </borders>
  <cellStyleXfs count="1">
    <xf numFmtId="0" fontId="0" fillId="0" borderId="0"/>
  </cellStyleXfs>
  <cellXfs count="87">
    <xf numFmtId="0" fontId="0" fillId="0" borderId="0" xfId="0"/>
    <xf numFmtId="0" fontId="1" fillId="0" borderId="0" xfId="0" applyFont="1"/>
    <xf numFmtId="0" fontId="5" fillId="0" borderId="5" xfId="0" applyFont="1" applyBorder="1" applyAlignment="1">
      <alignment vertical="top" wrapText="1"/>
    </xf>
    <xf numFmtId="0" fontId="5" fillId="0" borderId="3" xfId="0" applyFont="1" applyBorder="1" applyAlignment="1">
      <alignment vertical="top" wrapText="1"/>
    </xf>
    <xf numFmtId="0" fontId="13" fillId="4" borderId="1" xfId="0" applyFont="1" applyFill="1" applyBorder="1" applyAlignment="1">
      <alignment horizontal="center" vertical="center"/>
    </xf>
    <xf numFmtId="0" fontId="1" fillId="0" borderId="0" xfId="0" applyFont="1" applyAlignment="1">
      <alignment vertical="top" wrapText="1"/>
    </xf>
    <xf numFmtId="0" fontId="0" fillId="0" borderId="2" xfId="0" applyBorder="1" applyAlignment="1">
      <alignment horizontal="left" vertical="center"/>
    </xf>
    <xf numFmtId="0" fontId="5" fillId="0" borderId="1" xfId="0" applyFont="1" applyBorder="1" applyAlignment="1">
      <alignment horizontal="left" vertical="center"/>
    </xf>
    <xf numFmtId="0" fontId="4" fillId="2" borderId="1" xfId="0" applyFont="1" applyFill="1" applyBorder="1" applyAlignment="1">
      <alignment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4" fillId="2" borderId="1" xfId="0" applyFont="1" applyFill="1" applyBorder="1"/>
    <xf numFmtId="0" fontId="4" fillId="2" borderId="1" xfId="0" applyFont="1" applyFill="1" applyBorder="1" applyAlignment="1">
      <alignment horizontal="center" vertical="center"/>
    </xf>
    <xf numFmtId="0" fontId="4" fillId="2" borderId="1" xfId="0" applyFont="1" applyFill="1" applyBorder="1" applyAlignment="1">
      <alignment vertical="center"/>
    </xf>
    <xf numFmtId="0" fontId="5" fillId="0" borderId="1" xfId="0" applyFont="1" applyBorder="1" applyAlignment="1">
      <alignment vertical="top"/>
    </xf>
    <xf numFmtId="0" fontId="6" fillId="0" borderId="1" xfId="0" applyFont="1" applyBorder="1" applyAlignment="1">
      <alignment vertical="top" wrapText="1"/>
    </xf>
    <xf numFmtId="0" fontId="7" fillId="2" borderId="3" xfId="0" applyFont="1" applyFill="1" applyBorder="1"/>
    <xf numFmtId="0" fontId="7" fillId="0" borderId="3" xfId="0" applyFont="1" applyBorder="1" applyAlignment="1">
      <alignment vertical="top" wrapText="1"/>
    </xf>
    <xf numFmtId="0" fontId="8" fillId="0" borderId="3" xfId="0" applyFont="1" applyBorder="1" applyAlignment="1">
      <alignment vertical="top" wrapText="1"/>
    </xf>
    <xf numFmtId="0" fontId="8" fillId="0" borderId="3" xfId="0" applyFont="1" applyBorder="1" applyAlignment="1">
      <alignment horizontal="center" vertical="top"/>
    </xf>
    <xf numFmtId="0" fontId="0" fillId="0" borderId="3" xfId="0" applyBorder="1"/>
    <xf numFmtId="0" fontId="0" fillId="0" borderId="1" xfId="0" applyBorder="1"/>
    <xf numFmtId="0" fontId="4" fillId="4" borderId="1" xfId="0" applyFont="1" applyFill="1" applyBorder="1" applyAlignment="1">
      <alignment horizontal="center" vertical="center"/>
    </xf>
    <xf numFmtId="0" fontId="0" fillId="5" borderId="3" xfId="0" applyFill="1" applyBorder="1"/>
    <xf numFmtId="0" fontId="0" fillId="6" borderId="3" xfId="0" applyFill="1" applyBorder="1"/>
    <xf numFmtId="0" fontId="0" fillId="7" borderId="3" xfId="0" applyFill="1" applyBorder="1"/>
    <xf numFmtId="0" fontId="0" fillId="8" borderId="3" xfId="0" applyFill="1" applyBorder="1"/>
    <xf numFmtId="0" fontId="4" fillId="0" borderId="1" xfId="0" applyFont="1" applyBorder="1" applyAlignment="1">
      <alignment vertical="center" wrapText="1"/>
    </xf>
    <xf numFmtId="0" fontId="0" fillId="9" borderId="3" xfId="0" applyFill="1" applyBorder="1"/>
    <xf numFmtId="0" fontId="9" fillId="4" borderId="1" xfId="0" applyFont="1" applyFill="1" applyBorder="1"/>
    <xf numFmtId="0" fontId="4" fillId="4" borderId="1" xfId="0" applyFont="1" applyFill="1" applyBorder="1" applyAlignment="1">
      <alignment vertical="center" wrapText="1"/>
    </xf>
    <xf numFmtId="0" fontId="0" fillId="0" borderId="0" xfId="0" applyAlignment="1">
      <alignment wrapText="1"/>
    </xf>
    <xf numFmtId="0" fontId="10" fillId="0" borderId="0" xfId="0" applyFont="1" applyAlignment="1">
      <alignment horizontal="right"/>
    </xf>
    <xf numFmtId="165" fontId="11" fillId="0" borderId="0" xfId="0" applyNumberFormat="1" applyFont="1" applyAlignment="1">
      <alignment horizontal="center" textRotation="90"/>
    </xf>
    <xf numFmtId="0" fontId="0" fillId="4" borderId="1" xfId="0" applyFill="1" applyBorder="1" applyAlignment="1">
      <alignment wrapText="1"/>
    </xf>
    <xf numFmtId="0" fontId="12" fillId="3" borderId="4" xfId="0" applyFont="1" applyFill="1" applyBorder="1" applyAlignment="1">
      <alignment vertical="center"/>
    </xf>
    <xf numFmtId="0" fontId="12" fillId="3" borderId="1" xfId="0" applyFont="1" applyFill="1" applyBorder="1" applyAlignment="1">
      <alignment horizontal="center" vertical="center"/>
    </xf>
    <xf numFmtId="0" fontId="12" fillId="3" borderId="1" xfId="0" applyFont="1" applyFill="1" applyBorder="1" applyAlignment="1">
      <alignment vertical="center"/>
    </xf>
    <xf numFmtId="0" fontId="9" fillId="4" borderId="1" xfId="0" applyFont="1" applyFill="1" applyBorder="1" applyAlignment="1">
      <alignment horizontal="center" vertical="center" wrapText="1"/>
    </xf>
    <xf numFmtId="0" fontId="9" fillId="4" borderId="0" xfId="0" applyFont="1" applyFill="1" applyAlignment="1">
      <alignment horizontal="center" vertical="center" wrapText="1"/>
    </xf>
    <xf numFmtId="0" fontId="14" fillId="3" borderId="1" xfId="0" applyFont="1" applyFill="1" applyBorder="1" applyAlignment="1">
      <alignment horizontal="right" vertical="center"/>
    </xf>
    <xf numFmtId="0" fontId="15" fillId="3" borderId="4" xfId="0" applyFont="1" applyFill="1" applyBorder="1" applyAlignment="1">
      <alignment vertical="center"/>
    </xf>
    <xf numFmtId="166" fontId="16" fillId="10" borderId="1" xfId="0" applyNumberFormat="1" applyFont="1" applyFill="1" applyBorder="1" applyAlignment="1">
      <alignment vertical="center"/>
    </xf>
    <xf numFmtId="0" fontId="12" fillId="11" borderId="1" xfId="0" applyFont="1" applyFill="1" applyBorder="1" applyAlignment="1">
      <alignment wrapText="1"/>
    </xf>
    <xf numFmtId="0" fontId="12" fillId="11" borderId="4" xfId="0" applyFont="1" applyFill="1" applyBorder="1" applyAlignment="1">
      <alignment horizontal="left" vertical="center"/>
    </xf>
    <xf numFmtId="0" fontId="8" fillId="11" borderId="1" xfId="0" applyFont="1" applyFill="1" applyBorder="1" applyAlignment="1">
      <alignment vertical="center"/>
    </xf>
    <xf numFmtId="0" fontId="7" fillId="11" borderId="1" xfId="0" applyFont="1" applyFill="1" applyBorder="1" applyAlignment="1">
      <alignment horizontal="center"/>
    </xf>
    <xf numFmtId="167" fontId="7" fillId="11" borderId="1" xfId="0" applyNumberFormat="1" applyFont="1" applyFill="1" applyBorder="1" applyAlignment="1">
      <alignment horizontal="center" vertical="center"/>
    </xf>
    <xf numFmtId="0" fontId="17" fillId="0" borderId="1" xfId="0" applyFont="1" applyBorder="1" applyAlignment="1">
      <alignment vertical="center"/>
    </xf>
    <xf numFmtId="0" fontId="17" fillId="4" borderId="1" xfId="0" applyFont="1" applyFill="1" applyBorder="1" applyAlignment="1">
      <alignment vertical="center"/>
    </xf>
    <xf numFmtId="0" fontId="18" fillId="4" borderId="1" xfId="0" applyFont="1" applyFill="1" applyBorder="1" applyAlignment="1">
      <alignment wrapText="1"/>
    </xf>
    <xf numFmtId="0" fontId="18" fillId="0" borderId="4" xfId="0" applyFont="1" applyBorder="1" applyAlignment="1">
      <alignment horizontal="left" vertical="center"/>
    </xf>
    <xf numFmtId="0" fontId="8" fillId="0" borderId="1" xfId="0" applyFont="1" applyBorder="1" applyAlignment="1">
      <alignment vertical="center"/>
    </xf>
    <xf numFmtId="0" fontId="8" fillId="0" borderId="1" xfId="0" applyFont="1" applyBorder="1" applyAlignment="1">
      <alignment horizontal="center"/>
    </xf>
    <xf numFmtId="167" fontId="8" fillId="0" borderId="1" xfId="0" applyNumberFormat="1" applyFont="1" applyBorder="1" applyAlignment="1">
      <alignment horizontal="center" vertical="center"/>
    </xf>
    <xf numFmtId="0" fontId="19" fillId="4" borderId="1" xfId="0" applyFont="1" applyFill="1" applyBorder="1" applyAlignment="1">
      <alignment wrapText="1"/>
    </xf>
    <xf numFmtId="0" fontId="19" fillId="0" borderId="4" xfId="0" applyFont="1" applyBorder="1" applyAlignment="1">
      <alignment horizontal="left" vertical="center"/>
    </xf>
    <xf numFmtId="0" fontId="7" fillId="0" borderId="1" xfId="0" applyFont="1" applyBorder="1" applyAlignment="1">
      <alignment horizontal="center"/>
    </xf>
    <xf numFmtId="167" fontId="7" fillId="0" borderId="1" xfId="0" applyNumberFormat="1" applyFont="1" applyBorder="1" applyAlignment="1">
      <alignment horizontal="center" vertical="center"/>
    </xf>
    <xf numFmtId="0" fontId="7" fillId="0" borderId="0" xfId="0" applyFont="1" applyAlignment="1">
      <alignment vertical="top"/>
    </xf>
    <xf numFmtId="0" fontId="0" fillId="5" borderId="0" xfId="0" applyFill="1"/>
    <xf numFmtId="0" fontId="8" fillId="0" borderId="0" xfId="0" applyFont="1" applyAlignment="1">
      <alignment vertical="top"/>
    </xf>
    <xf numFmtId="0" fontId="0" fillId="7" borderId="0" xfId="0" applyFill="1"/>
    <xf numFmtId="0" fontId="0" fillId="12" borderId="0" xfId="0" applyFill="1"/>
    <xf numFmtId="0" fontId="0" fillId="13" borderId="0" xfId="0" applyFill="1"/>
    <xf numFmtId="0" fontId="0" fillId="14" borderId="0" xfId="0" applyFill="1"/>
    <xf numFmtId="0" fontId="4" fillId="2" borderId="1" xfId="0" applyFont="1" applyFill="1" applyBorder="1" applyAlignment="1">
      <alignment wrapText="1"/>
    </xf>
    <xf numFmtId="0" fontId="5" fillId="0" borderId="3" xfId="0" applyFont="1" applyBorder="1" applyAlignment="1">
      <alignment vertical="top" wrapText="1"/>
    </xf>
    <xf numFmtId="0" fontId="3" fillId="0" borderId="3" xfId="0" applyFont="1" applyBorder="1" applyAlignment="1">
      <alignment vertical="top"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0" fontId="20" fillId="0" borderId="1" xfId="0" applyFont="1" applyBorder="1" applyAlignment="1">
      <alignment horizontal="center" vertical="top" wrapText="1"/>
    </xf>
    <xf numFmtId="0" fontId="21" fillId="2" borderId="1" xfId="0" applyFont="1" applyFill="1" applyBorder="1"/>
    <xf numFmtId="0" fontId="22" fillId="0" borderId="0" xfId="0" applyFont="1"/>
    <xf numFmtId="0" fontId="21" fillId="0" borderId="1" xfId="0" applyFont="1" applyBorder="1" applyAlignment="1">
      <alignment vertical="top" wrapText="1"/>
    </xf>
    <xf numFmtId="0" fontId="24" fillId="0" borderId="1" xfId="0" applyFont="1" applyBorder="1" applyAlignment="1">
      <alignment vertical="top" wrapText="1"/>
    </xf>
    <xf numFmtId="0" fontId="21" fillId="0" borderId="1" xfId="0" applyFont="1" applyBorder="1" applyAlignment="1">
      <alignment horizontal="left" vertical="top" wrapText="1"/>
    </xf>
    <xf numFmtId="0" fontId="23" fillId="0" borderId="1" xfId="0" applyFont="1" applyBorder="1" applyAlignment="1">
      <alignment horizontal="left" vertical="top" wrapText="1"/>
    </xf>
    <xf numFmtId="0" fontId="21" fillId="3" borderId="1" xfId="0" applyFont="1" applyFill="1" applyBorder="1"/>
    <xf numFmtId="0" fontId="24" fillId="0" borderId="1" xfId="0" applyFont="1" applyBorder="1" applyAlignment="1">
      <alignment vertical="top" wrapText="1"/>
    </xf>
    <xf numFmtId="0" fontId="25" fillId="0" borderId="0" xfId="0" applyFont="1" applyAlignment="1"/>
    <xf numFmtId="0" fontId="26" fillId="0" borderId="0" xfId="0" applyFont="1" applyAlignment="1"/>
    <xf numFmtId="0" fontId="22" fillId="0" borderId="0" xfId="0" applyFont="1" applyAlignment="1"/>
    <xf numFmtId="0" fontId="23" fillId="0" borderId="0" xfId="0" applyFont="1" applyAlignment="1"/>
    <xf numFmtId="164" fontId="24" fillId="0" borderId="1" xfId="0" applyNumberFormat="1" applyFont="1" applyBorder="1" applyAlignment="1">
      <alignment horizontal="left" vertical="top" wrapText="1"/>
    </xf>
  </cellXfs>
  <cellStyles count="1">
    <cellStyle name="Normal" xfId="0" builtinId="0"/>
  </cellStyles>
  <dxfs count="17">
    <dxf>
      <fill>
        <patternFill>
          <bgColor rgb="FFC6E0B4"/>
        </patternFill>
      </fill>
    </dxf>
    <dxf>
      <fill>
        <patternFill>
          <bgColor rgb="FFFFE699"/>
        </patternFill>
      </fill>
    </dxf>
    <dxf>
      <fill>
        <patternFill>
          <bgColor rgb="FFF4B183"/>
        </patternFill>
      </fill>
    </dxf>
    <dxf>
      <fill>
        <patternFill>
          <bgColor rgb="FFFFC000"/>
        </patternFill>
      </fill>
    </dxf>
    <dxf>
      <fill>
        <patternFill>
          <bgColor rgb="FF1F4E79"/>
        </patternFill>
      </fill>
    </dxf>
    <dxf>
      <fill>
        <patternFill>
          <bgColor rgb="FFFFC000"/>
        </patternFill>
      </fill>
    </dxf>
    <dxf>
      <fill>
        <patternFill>
          <bgColor rgb="FF1F4E79"/>
        </patternFill>
      </fill>
    </dxf>
    <dxf>
      <fill>
        <patternFill>
          <bgColor rgb="FFFFC000"/>
        </patternFill>
      </fill>
    </dxf>
    <dxf>
      <fill>
        <patternFill>
          <bgColor rgb="FF1F4E79"/>
        </patternFill>
      </fill>
    </dxf>
    <dxf>
      <fill>
        <patternFill>
          <bgColor rgb="FFFFC000"/>
        </patternFill>
      </fill>
    </dxf>
    <dxf>
      <fill>
        <patternFill>
          <bgColor rgb="FF1F4E79"/>
        </patternFill>
      </fill>
    </dxf>
    <dxf>
      <fill>
        <patternFill>
          <bgColor rgb="FFFFC000"/>
        </patternFill>
      </fill>
    </dxf>
    <dxf>
      <fill>
        <patternFill>
          <bgColor rgb="FF5B9BD5"/>
        </patternFill>
      </fill>
    </dxf>
    <dxf>
      <fill>
        <patternFill>
          <bgColor rgb="FFF4B183"/>
        </patternFill>
      </fill>
    </dxf>
    <dxf>
      <fill>
        <patternFill>
          <bgColor rgb="FF5B9BD5"/>
        </patternFill>
      </fill>
    </dxf>
    <dxf>
      <fill>
        <patternFill>
          <bgColor rgb="FFEDEDED"/>
        </patternFill>
      </fill>
    </dxf>
    <dxf>
      <fill>
        <patternFill>
          <bgColor rgb="FF1F4E79"/>
        </patternFill>
      </fill>
    </dxf>
  </dxfs>
  <tableStyles count="0" defaultTableStyle="TableStyleMedium2" defaultPivotStyle="PivotStyleLight16"/>
  <colors>
    <indexedColors>
      <rgbColor rgb="FF000000"/>
      <rgbColor rgb="FFEDEDED"/>
      <rgbColor rgb="FFC0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5B9BD5"/>
      <rgbColor rgb="FF993366"/>
      <rgbColor rgb="FFFFFFCC"/>
      <rgbColor rgb="FFDDEBF7"/>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D9D9D9"/>
      <rgbColor rgb="FFC6E0B4"/>
      <rgbColor rgb="FFFFE699"/>
      <rgbColor rgb="FF9DC3E6"/>
      <rgbColor rgb="FFFF99CC"/>
      <rgbColor rgb="FFCC99FF"/>
      <rgbColor rgb="FFF4B183"/>
      <rgbColor rgb="FF2E75B6"/>
      <rgbColor rgb="FF83CAEB"/>
      <rgbColor rgb="FF99CC00"/>
      <rgbColor rgb="FFFFC0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49"/>
  <sheetViews>
    <sheetView showGridLines="0" topLeftCell="A34" zoomScaleNormal="100" workbookViewId="0">
      <selection activeCell="C21" sqref="C21"/>
    </sheetView>
  </sheetViews>
  <sheetFormatPr defaultColWidth="8.54296875" defaultRowHeight="15.5" x14ac:dyDescent="0.35"/>
  <cols>
    <col min="1" max="1" width="26" style="75" customWidth="1"/>
    <col min="2" max="2" width="34" style="75" customWidth="1"/>
    <col min="3" max="3" width="70" style="75" customWidth="1"/>
    <col min="4" max="16384" width="8.54296875" style="75"/>
  </cols>
  <sheetData>
    <row r="1" spans="1:3" ht="19.5" customHeight="1" x14ac:dyDescent="0.4">
      <c r="A1" s="82" t="s">
        <v>0</v>
      </c>
      <c r="B1" s="83"/>
      <c r="C1" s="84"/>
    </row>
    <row r="2" spans="1:3" ht="15" customHeight="1" x14ac:dyDescent="0.35">
      <c r="A2" s="85" t="s">
        <v>1</v>
      </c>
      <c r="B2" s="84"/>
      <c r="C2" s="84"/>
    </row>
    <row r="3" spans="1:3" x14ac:dyDescent="0.35">
      <c r="A3" s="84"/>
      <c r="B3" s="84"/>
      <c r="C3" s="84"/>
    </row>
    <row r="4" spans="1:3" ht="15" customHeight="1" x14ac:dyDescent="0.35">
      <c r="A4" s="74" t="s">
        <v>2</v>
      </c>
      <c r="B4" s="74"/>
      <c r="C4" s="74"/>
    </row>
    <row r="5" spans="1:3" ht="61.5" customHeight="1" x14ac:dyDescent="0.35">
      <c r="A5" s="76" t="s">
        <v>3</v>
      </c>
      <c r="B5" s="77" t="s">
        <v>4</v>
      </c>
      <c r="C5" s="77"/>
    </row>
    <row r="6" spans="1:3" ht="45" customHeight="1" x14ac:dyDescent="0.35">
      <c r="A6" s="76" t="s">
        <v>5</v>
      </c>
      <c r="B6" s="77" t="s">
        <v>6</v>
      </c>
      <c r="C6" s="77"/>
    </row>
    <row r="8" spans="1:3" ht="15" customHeight="1" x14ac:dyDescent="0.35">
      <c r="A8" s="74" t="s">
        <v>7</v>
      </c>
      <c r="B8" s="74"/>
      <c r="C8" s="74"/>
    </row>
    <row r="9" spans="1:3" ht="30" customHeight="1" x14ac:dyDescent="0.35">
      <c r="A9" s="76" t="s">
        <v>8</v>
      </c>
      <c r="B9" s="77" t="s">
        <v>9</v>
      </c>
      <c r="C9" s="77"/>
    </row>
    <row r="10" spans="1:3" ht="30" customHeight="1" x14ac:dyDescent="0.35">
      <c r="A10" s="76" t="s">
        <v>10</v>
      </c>
      <c r="B10" s="77" t="s">
        <v>11</v>
      </c>
      <c r="C10" s="77"/>
    </row>
    <row r="11" spans="1:3" ht="30" customHeight="1" x14ac:dyDescent="0.35">
      <c r="A11" s="76" t="s">
        <v>12</v>
      </c>
      <c r="B11" s="77" t="s">
        <v>13</v>
      </c>
      <c r="C11" s="77"/>
    </row>
    <row r="12" spans="1:3" ht="30" customHeight="1" x14ac:dyDescent="0.35">
      <c r="A12" s="76" t="s">
        <v>14</v>
      </c>
      <c r="B12" s="77" t="s">
        <v>15</v>
      </c>
      <c r="C12" s="77"/>
    </row>
    <row r="14" spans="1:3" ht="15" customHeight="1" x14ac:dyDescent="0.35">
      <c r="A14" s="74" t="s">
        <v>16</v>
      </c>
      <c r="B14" s="74"/>
      <c r="C14" s="74"/>
    </row>
    <row r="15" spans="1:3" ht="48" customHeight="1" x14ac:dyDescent="0.35">
      <c r="A15" s="76" t="s">
        <v>17</v>
      </c>
      <c r="B15" s="77" t="s">
        <v>18</v>
      </c>
      <c r="C15" s="77"/>
    </row>
    <row r="16" spans="1:3" ht="45" customHeight="1" x14ac:dyDescent="0.35">
      <c r="A16" s="76" t="s">
        <v>19</v>
      </c>
      <c r="B16" s="77" t="s">
        <v>20</v>
      </c>
      <c r="C16" s="77"/>
    </row>
    <row r="18" spans="1:3" ht="15" customHeight="1" x14ac:dyDescent="0.35">
      <c r="A18" s="74" t="s">
        <v>21</v>
      </c>
      <c r="B18" s="74"/>
      <c r="C18" s="74"/>
    </row>
    <row r="19" spans="1:3" ht="30" customHeight="1" x14ac:dyDescent="0.35">
      <c r="A19" s="76" t="s">
        <v>22</v>
      </c>
      <c r="B19" s="77" t="s">
        <v>23</v>
      </c>
      <c r="C19" s="77"/>
    </row>
    <row r="20" spans="1:3" ht="15" customHeight="1" x14ac:dyDescent="0.35">
      <c r="A20" s="78" t="s">
        <v>24</v>
      </c>
      <c r="B20" s="86">
        <f>'Gantt Chart'!E4</f>
        <v>46307</v>
      </c>
      <c r="C20" s="79" t="s">
        <v>25</v>
      </c>
    </row>
    <row r="22" spans="1:3" ht="15" customHeight="1" x14ac:dyDescent="0.35">
      <c r="A22" s="74" t="s">
        <v>26</v>
      </c>
      <c r="B22" s="74"/>
      <c r="C22" s="74"/>
    </row>
    <row r="23" spans="1:3" ht="15" customHeight="1" x14ac:dyDescent="0.35">
      <c r="A23" s="80" t="s">
        <v>27</v>
      </c>
      <c r="B23" s="80" t="s">
        <v>28</v>
      </c>
      <c r="C23" s="80" t="s">
        <v>29</v>
      </c>
    </row>
    <row r="24" spans="1:3" ht="15" customHeight="1" x14ac:dyDescent="0.35">
      <c r="A24" s="81" t="s">
        <v>30</v>
      </c>
      <c r="B24" s="81" t="s">
        <v>31</v>
      </c>
      <c r="C24" s="81" t="s">
        <v>32</v>
      </c>
    </row>
    <row r="25" spans="1:3" ht="27.75" customHeight="1" x14ac:dyDescent="0.35">
      <c r="A25" s="81" t="s">
        <v>33</v>
      </c>
      <c r="B25" s="81" t="s">
        <v>34</v>
      </c>
      <c r="C25" s="81" t="s">
        <v>35</v>
      </c>
    </row>
    <row r="26" spans="1:3" ht="15" customHeight="1" x14ac:dyDescent="0.35">
      <c r="A26" s="81" t="s">
        <v>36</v>
      </c>
      <c r="B26" s="81" t="s">
        <v>37</v>
      </c>
      <c r="C26" s="81" t="s">
        <v>38</v>
      </c>
    </row>
    <row r="27" spans="1:3" ht="15" customHeight="1" x14ac:dyDescent="0.35">
      <c r="A27" s="81" t="s">
        <v>39</v>
      </c>
      <c r="B27" s="81" t="s">
        <v>40</v>
      </c>
      <c r="C27" s="81" t="s">
        <v>41</v>
      </c>
    </row>
    <row r="28" spans="1:3" ht="27.75" customHeight="1" x14ac:dyDescent="0.35">
      <c r="A28" s="81" t="s">
        <v>42</v>
      </c>
      <c r="B28" s="81" t="s">
        <v>43</v>
      </c>
      <c r="C28" s="81" t="s">
        <v>44</v>
      </c>
    </row>
    <row r="29" spans="1:3" ht="15" customHeight="1" x14ac:dyDescent="0.35">
      <c r="A29" s="81" t="s">
        <v>45</v>
      </c>
      <c r="B29" s="81" t="s">
        <v>46</v>
      </c>
      <c r="C29" s="81" t="s">
        <v>47</v>
      </c>
    </row>
    <row r="30" spans="1:3" ht="15" customHeight="1" x14ac:dyDescent="0.35">
      <c r="A30" s="81" t="s">
        <v>48</v>
      </c>
      <c r="B30" s="81" t="s">
        <v>49</v>
      </c>
      <c r="C30" s="81" t="s">
        <v>50</v>
      </c>
    </row>
    <row r="31" spans="1:3" ht="15" customHeight="1" x14ac:dyDescent="0.35">
      <c r="A31" s="81" t="s">
        <v>51</v>
      </c>
      <c r="B31" s="81" t="s">
        <v>52</v>
      </c>
      <c r="C31" s="81" t="s">
        <v>53</v>
      </c>
    </row>
    <row r="32" spans="1:3" ht="15" customHeight="1" x14ac:dyDescent="0.35">
      <c r="A32" s="81" t="s">
        <v>54</v>
      </c>
      <c r="B32" s="81" t="s">
        <v>55</v>
      </c>
      <c r="C32" s="81" t="s">
        <v>56</v>
      </c>
    </row>
    <row r="33" spans="1:3" ht="15" customHeight="1" x14ac:dyDescent="0.35">
      <c r="A33" s="81" t="s">
        <v>57</v>
      </c>
      <c r="B33" s="81" t="s">
        <v>58</v>
      </c>
      <c r="C33" s="81" t="s">
        <v>59</v>
      </c>
    </row>
    <row r="34" spans="1:3" ht="15" customHeight="1" x14ac:dyDescent="0.35">
      <c r="A34" s="81" t="s">
        <v>60</v>
      </c>
      <c r="B34" s="81" t="s">
        <v>58</v>
      </c>
      <c r="C34" s="81" t="s">
        <v>61</v>
      </c>
    </row>
    <row r="36" spans="1:3" ht="15" customHeight="1" x14ac:dyDescent="0.35">
      <c r="A36" s="74" t="s">
        <v>62</v>
      </c>
      <c r="B36" s="74"/>
      <c r="C36" s="74"/>
    </row>
    <row r="37" spans="1:3" ht="18" customHeight="1" x14ac:dyDescent="0.35">
      <c r="A37" s="81" t="s">
        <v>63</v>
      </c>
      <c r="B37" s="77" t="s">
        <v>64</v>
      </c>
      <c r="C37" s="77"/>
    </row>
    <row r="38" spans="1:3" ht="18" customHeight="1" x14ac:dyDescent="0.35">
      <c r="A38" s="81" t="s">
        <v>63</v>
      </c>
      <c r="B38" s="77" t="s">
        <v>65</v>
      </c>
      <c r="C38" s="77"/>
    </row>
    <row r="39" spans="1:3" ht="18" customHeight="1" x14ac:dyDescent="0.35">
      <c r="A39" s="81" t="s">
        <v>63</v>
      </c>
      <c r="B39" s="77" t="s">
        <v>66</v>
      </c>
      <c r="C39" s="77"/>
    </row>
    <row r="40" spans="1:3" ht="18" customHeight="1" x14ac:dyDescent="0.35">
      <c r="A40" s="81" t="s">
        <v>63</v>
      </c>
      <c r="B40" s="77" t="s">
        <v>67</v>
      </c>
      <c r="C40" s="77"/>
    </row>
    <row r="42" spans="1:3" ht="15" customHeight="1" x14ac:dyDescent="0.35">
      <c r="A42" s="74" t="s">
        <v>68</v>
      </c>
      <c r="B42" s="74"/>
      <c r="C42" s="74"/>
    </row>
    <row r="43" spans="1:3" ht="18" customHeight="1" x14ac:dyDescent="0.35">
      <c r="A43" s="76" t="s">
        <v>69</v>
      </c>
      <c r="B43" s="77" t="s">
        <v>70</v>
      </c>
      <c r="C43" s="77"/>
    </row>
    <row r="44" spans="1:3" ht="18" customHeight="1" x14ac:dyDescent="0.35">
      <c r="A44" s="76" t="s">
        <v>71</v>
      </c>
      <c r="B44" s="77" t="s">
        <v>72</v>
      </c>
      <c r="C44" s="77"/>
    </row>
    <row r="45" spans="1:3" ht="18" customHeight="1" x14ac:dyDescent="0.35">
      <c r="A45" s="76" t="s">
        <v>73</v>
      </c>
      <c r="B45" s="77" t="s">
        <v>74</v>
      </c>
      <c r="C45" s="77"/>
    </row>
    <row r="46" spans="1:3" ht="18" customHeight="1" x14ac:dyDescent="0.35">
      <c r="A46" s="76" t="s">
        <v>75</v>
      </c>
      <c r="B46" s="77" t="s">
        <v>76</v>
      </c>
      <c r="C46" s="77"/>
    </row>
    <row r="47" spans="1:3" ht="18" customHeight="1" x14ac:dyDescent="0.35">
      <c r="A47" s="76" t="s">
        <v>77</v>
      </c>
      <c r="B47" s="77" t="s">
        <v>78</v>
      </c>
      <c r="C47" s="77"/>
    </row>
    <row r="48" spans="1:3" ht="18" customHeight="1" x14ac:dyDescent="0.35">
      <c r="A48" s="76" t="s">
        <v>79</v>
      </c>
      <c r="B48" s="77" t="s">
        <v>80</v>
      </c>
      <c r="C48" s="77"/>
    </row>
    <row r="49" spans="1:3" ht="18" customHeight="1" x14ac:dyDescent="0.35">
      <c r="A49" s="76" t="s">
        <v>81</v>
      </c>
      <c r="B49" s="77" t="s">
        <v>82</v>
      </c>
      <c r="C49" s="77"/>
    </row>
  </sheetData>
  <mergeCells count="27">
    <mergeCell ref="B48:C48"/>
    <mergeCell ref="B49:C49"/>
    <mergeCell ref="B43:C43"/>
    <mergeCell ref="B44:C44"/>
    <mergeCell ref="B45:C45"/>
    <mergeCell ref="B46:C46"/>
    <mergeCell ref="B47:C47"/>
    <mergeCell ref="B37:C37"/>
    <mergeCell ref="B38:C38"/>
    <mergeCell ref="B39:C39"/>
    <mergeCell ref="B40:C40"/>
    <mergeCell ref="A42:C42"/>
    <mergeCell ref="B16:C16"/>
    <mergeCell ref="A18:C18"/>
    <mergeCell ref="B19:C19"/>
    <mergeCell ref="A22:C22"/>
    <mergeCell ref="A36:C36"/>
    <mergeCell ref="B10:C10"/>
    <mergeCell ref="B11:C11"/>
    <mergeCell ref="B12:C12"/>
    <mergeCell ref="A14:C14"/>
    <mergeCell ref="B15:C15"/>
    <mergeCell ref="A4:C4"/>
    <mergeCell ref="B5:C5"/>
    <mergeCell ref="B6:C6"/>
    <mergeCell ref="A8:C8"/>
    <mergeCell ref="B9:C9"/>
  </mergeCells>
  <pageMargins left="0.75" right="0.75" top="1" bottom="1" header="0.511811023622047" footer="0.511811023622047"/>
  <pageSetup paperSize="9"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zoomScaleNormal="100" workbookViewId="0"/>
  </sheetViews>
  <sheetFormatPr defaultColWidth="12.6328125" defaultRowHeight="14.5" x14ac:dyDescent="0.35"/>
  <cols>
    <col min="1" max="1" width="30.7265625" customWidth="1"/>
    <col min="2" max="2" width="13.90625" customWidth="1"/>
    <col min="3" max="3" width="78.6328125" customWidth="1"/>
    <col min="4" max="4" width="15.7265625" customWidth="1"/>
    <col min="5" max="6" width="8.6328125" customWidth="1"/>
  </cols>
  <sheetData>
    <row r="1" spans="1:3" ht="15.75" customHeight="1" x14ac:dyDescent="0.35">
      <c r="A1" s="8" t="s">
        <v>83</v>
      </c>
      <c r="B1" s="8" t="s">
        <v>84</v>
      </c>
      <c r="C1" s="8" t="s">
        <v>69</v>
      </c>
    </row>
    <row r="2" spans="1:3" ht="48" customHeight="1" x14ac:dyDescent="0.35">
      <c r="A2" s="7" t="s">
        <v>85</v>
      </c>
      <c r="B2" s="9" t="s">
        <v>86</v>
      </c>
      <c r="C2" s="10" t="s">
        <v>87</v>
      </c>
    </row>
    <row r="3" spans="1:3" ht="31.5" customHeight="1" x14ac:dyDescent="0.35">
      <c r="A3" s="7"/>
      <c r="B3" s="9" t="s">
        <v>88</v>
      </c>
      <c r="C3" s="10" t="s">
        <v>89</v>
      </c>
    </row>
    <row r="4" spans="1:3" ht="27" customHeight="1" x14ac:dyDescent="0.35">
      <c r="A4" s="7" t="s">
        <v>90</v>
      </c>
      <c r="B4" s="9" t="s">
        <v>91</v>
      </c>
      <c r="C4" s="10" t="s">
        <v>92</v>
      </c>
    </row>
    <row r="5" spans="1:3" ht="31.5" customHeight="1" x14ac:dyDescent="0.35">
      <c r="A5" s="7"/>
      <c r="B5" s="9" t="s">
        <v>93</v>
      </c>
      <c r="C5" s="10" t="s">
        <v>94</v>
      </c>
    </row>
    <row r="6" spans="1:3" ht="28.5" customHeight="1" x14ac:dyDescent="0.35">
      <c r="A6" s="7" t="s">
        <v>95</v>
      </c>
      <c r="B6" s="9" t="s">
        <v>96</v>
      </c>
      <c r="C6" s="10" t="s">
        <v>97</v>
      </c>
    </row>
    <row r="7" spans="1:3" ht="28.5" customHeight="1" x14ac:dyDescent="0.35">
      <c r="A7" s="7"/>
      <c r="B7" s="9" t="s">
        <v>98</v>
      </c>
      <c r="C7" s="10" t="s">
        <v>99</v>
      </c>
    </row>
    <row r="8" spans="1:3" ht="27" customHeight="1" x14ac:dyDescent="0.35">
      <c r="A8" s="7" t="s">
        <v>100</v>
      </c>
      <c r="B8" s="9" t="s">
        <v>101</v>
      </c>
      <c r="C8" s="10" t="s">
        <v>102</v>
      </c>
    </row>
    <row r="9" spans="1:3" ht="27.75" customHeight="1" x14ac:dyDescent="0.35">
      <c r="A9" s="7"/>
      <c r="B9" s="9" t="s">
        <v>103</v>
      </c>
      <c r="C9" s="10" t="s">
        <v>104</v>
      </c>
    </row>
    <row r="10" spans="1:3" ht="31.5" customHeight="1" x14ac:dyDescent="0.35">
      <c r="A10" s="7" t="s">
        <v>105</v>
      </c>
      <c r="B10" s="9" t="s">
        <v>106</v>
      </c>
      <c r="C10" s="11" t="s">
        <v>107</v>
      </c>
    </row>
    <row r="11" spans="1:3" ht="31.5" customHeight="1" x14ac:dyDescent="0.35">
      <c r="A11" s="7"/>
      <c r="B11" s="9" t="s">
        <v>108</v>
      </c>
      <c r="C11" s="10" t="s">
        <v>109</v>
      </c>
    </row>
    <row r="12" spans="1:3" ht="48" customHeight="1" x14ac:dyDescent="0.35">
      <c r="A12" s="6" t="s">
        <v>110</v>
      </c>
      <c r="B12" s="9" t="s">
        <v>111</v>
      </c>
      <c r="C12" s="10" t="s">
        <v>112</v>
      </c>
    </row>
    <row r="13" spans="1:3" ht="48" customHeight="1" x14ac:dyDescent="0.35">
      <c r="A13" s="6"/>
      <c r="B13" s="9" t="s">
        <v>113</v>
      </c>
      <c r="C13" s="10" t="s">
        <v>114</v>
      </c>
    </row>
    <row r="14" spans="1:3" ht="48" customHeight="1" x14ac:dyDescent="0.35">
      <c r="A14" s="6"/>
      <c r="B14" s="9" t="s">
        <v>115</v>
      </c>
      <c r="C14" s="10" t="s">
        <v>116</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6">
    <mergeCell ref="A12:A14"/>
    <mergeCell ref="A2:A3"/>
    <mergeCell ref="A4:A5"/>
    <mergeCell ref="A6:A7"/>
    <mergeCell ref="A8:A9"/>
    <mergeCell ref="A10:A11"/>
  </mergeCells>
  <pageMargins left="0.7" right="0.7" top="0.75" bottom="0.75"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topLeftCell="A4" zoomScaleNormal="100" workbookViewId="0">
      <selection activeCell="C5" sqref="C5"/>
    </sheetView>
  </sheetViews>
  <sheetFormatPr defaultColWidth="12.6328125" defaultRowHeight="14.5" x14ac:dyDescent="0.35"/>
  <cols>
    <col min="1" max="1" width="31.36328125" customWidth="1"/>
    <col min="2" max="2" width="10.6328125" customWidth="1"/>
    <col min="3" max="3" width="75.453125" customWidth="1"/>
    <col min="4" max="4" width="14.6328125" customWidth="1"/>
    <col min="5" max="6" width="8.6328125" customWidth="1"/>
  </cols>
  <sheetData>
    <row r="1" spans="1:3" ht="15.75" customHeight="1" x14ac:dyDescent="0.4">
      <c r="A1" s="12" t="s">
        <v>83</v>
      </c>
      <c r="B1" s="13" t="s">
        <v>117</v>
      </c>
      <c r="C1" s="14" t="s">
        <v>118</v>
      </c>
    </row>
    <row r="2" spans="1:3" ht="120" customHeight="1" x14ac:dyDescent="0.35">
      <c r="A2" s="15" t="s">
        <v>85</v>
      </c>
      <c r="B2" s="15" t="s">
        <v>119</v>
      </c>
      <c r="C2" s="16" t="s">
        <v>120</v>
      </c>
    </row>
    <row r="3" spans="1:3" ht="120" customHeight="1" x14ac:dyDescent="0.35">
      <c r="A3" s="15" t="s">
        <v>90</v>
      </c>
      <c r="B3" s="15" t="s">
        <v>121</v>
      </c>
      <c r="C3" s="16" t="s">
        <v>122</v>
      </c>
    </row>
    <row r="4" spans="1:3" ht="120" customHeight="1" x14ac:dyDescent="0.35">
      <c r="A4" s="15" t="s">
        <v>95</v>
      </c>
      <c r="B4" s="15" t="s">
        <v>123</v>
      </c>
      <c r="C4" s="16" t="s">
        <v>124</v>
      </c>
    </row>
    <row r="5" spans="1:3" ht="120" customHeight="1" x14ac:dyDescent="0.35">
      <c r="A5" s="15" t="s">
        <v>100</v>
      </c>
      <c r="B5" s="15" t="s">
        <v>125</v>
      </c>
      <c r="C5" s="16" t="s">
        <v>126</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
  <sheetViews>
    <sheetView zoomScaleNormal="100" workbookViewId="0">
      <pane ySplit="1" topLeftCell="A2" activePane="bottomLeft" state="frozen"/>
      <selection pane="bottomLeft"/>
    </sheetView>
  </sheetViews>
  <sheetFormatPr defaultColWidth="12.6328125" defaultRowHeight="14.5" x14ac:dyDescent="0.35"/>
  <cols>
    <col min="1" max="1" width="7.6328125" customWidth="1"/>
    <col min="2" max="2" width="45.7265625" customWidth="1"/>
    <col min="3" max="3" width="75.08984375" customWidth="1"/>
    <col min="4" max="4" width="14" customWidth="1"/>
    <col min="5" max="5" width="10.7265625" customWidth="1"/>
    <col min="6" max="6" width="74.90625" customWidth="1"/>
    <col min="7" max="7" width="18" customWidth="1"/>
    <col min="8" max="8" width="13" customWidth="1"/>
  </cols>
  <sheetData>
    <row r="1" spans="1:8" ht="14.25" customHeight="1" x14ac:dyDescent="0.35">
      <c r="A1" s="17" t="s">
        <v>127</v>
      </c>
      <c r="B1" s="17" t="s">
        <v>128</v>
      </c>
      <c r="C1" s="17" t="s">
        <v>129</v>
      </c>
      <c r="D1" s="17" t="s">
        <v>130</v>
      </c>
      <c r="E1" s="17" t="s">
        <v>131</v>
      </c>
      <c r="F1" s="17" t="s">
        <v>132</v>
      </c>
      <c r="G1" s="17" t="s">
        <v>133</v>
      </c>
      <c r="H1" s="17" t="s">
        <v>134</v>
      </c>
    </row>
    <row r="2" spans="1:8" ht="33.75" customHeight="1" x14ac:dyDescent="0.35">
      <c r="A2" s="18" t="s">
        <v>135</v>
      </c>
      <c r="B2" s="18" t="s">
        <v>136</v>
      </c>
      <c r="C2" s="19" t="s">
        <v>137</v>
      </c>
      <c r="D2" s="19" t="s">
        <v>119</v>
      </c>
      <c r="E2" s="19" t="s">
        <v>138</v>
      </c>
      <c r="F2" s="19" t="s">
        <v>139</v>
      </c>
      <c r="G2" s="20" t="s">
        <v>140</v>
      </c>
      <c r="H2" s="20">
        <v>5</v>
      </c>
    </row>
    <row r="3" spans="1:8" ht="33.75" customHeight="1" x14ac:dyDescent="0.35">
      <c r="A3" s="19"/>
      <c r="B3" s="19"/>
      <c r="C3" s="19"/>
      <c r="D3" s="19"/>
      <c r="E3" s="19" t="s">
        <v>141</v>
      </c>
      <c r="F3" s="19" t="s">
        <v>142</v>
      </c>
      <c r="G3" s="21"/>
      <c r="H3" s="21"/>
    </row>
    <row r="4" spans="1:8" ht="33.75" customHeight="1" x14ac:dyDescent="0.35">
      <c r="A4" s="19"/>
      <c r="B4" s="19"/>
      <c r="C4" s="19"/>
      <c r="D4" s="19"/>
      <c r="E4" s="19" t="s">
        <v>143</v>
      </c>
      <c r="F4" s="19" t="s">
        <v>144</v>
      </c>
      <c r="G4" s="21"/>
      <c r="H4" s="21"/>
    </row>
    <row r="5" spans="1:8" ht="33.75" customHeight="1" x14ac:dyDescent="0.35">
      <c r="A5" s="19"/>
      <c r="B5" s="19"/>
      <c r="C5" s="19"/>
      <c r="D5" s="19"/>
      <c r="E5" s="19" t="s">
        <v>145</v>
      </c>
      <c r="F5" s="19" t="s">
        <v>146</v>
      </c>
      <c r="G5" s="21"/>
      <c r="H5" s="21"/>
    </row>
    <row r="6" spans="1:8" x14ac:dyDescent="0.35">
      <c r="A6" s="22"/>
      <c r="B6" s="22"/>
      <c r="C6" s="22"/>
      <c r="D6" s="22"/>
      <c r="E6" s="22"/>
      <c r="F6" s="22"/>
    </row>
    <row r="7" spans="1:8" ht="33.75" customHeight="1" x14ac:dyDescent="0.35">
      <c r="A7" s="18" t="s">
        <v>147</v>
      </c>
      <c r="B7" s="18" t="s">
        <v>148</v>
      </c>
      <c r="C7" s="19" t="s">
        <v>149</v>
      </c>
      <c r="D7" s="19" t="s">
        <v>119</v>
      </c>
      <c r="E7" s="19" t="s">
        <v>150</v>
      </c>
      <c r="F7" s="19" t="s">
        <v>151</v>
      </c>
      <c r="G7" s="20" t="s">
        <v>140</v>
      </c>
      <c r="H7" s="20">
        <v>3</v>
      </c>
    </row>
    <row r="8" spans="1:8" ht="33.75" customHeight="1" x14ac:dyDescent="0.35">
      <c r="A8" s="19"/>
      <c r="B8" s="19"/>
      <c r="C8" s="19"/>
      <c r="D8" s="19"/>
      <c r="E8" s="19" t="s">
        <v>152</v>
      </c>
      <c r="F8" s="19" t="s">
        <v>153</v>
      </c>
      <c r="G8" s="21"/>
      <c r="H8" s="21"/>
    </row>
    <row r="9" spans="1:8" ht="33.75" customHeight="1" x14ac:dyDescent="0.35">
      <c r="A9" s="19"/>
      <c r="B9" s="19"/>
      <c r="C9" s="19"/>
      <c r="D9" s="19"/>
      <c r="E9" s="19" t="s">
        <v>154</v>
      </c>
      <c r="F9" s="19" t="s">
        <v>155</v>
      </c>
      <c r="G9" s="21"/>
      <c r="H9" s="21"/>
    </row>
    <row r="10" spans="1:8" x14ac:dyDescent="0.35">
      <c r="A10" s="22"/>
      <c r="B10" s="22"/>
      <c r="C10" s="22"/>
      <c r="D10" s="22"/>
      <c r="E10" s="22"/>
      <c r="F10" s="22"/>
    </row>
    <row r="11" spans="1:8" ht="33.75" customHeight="1" x14ac:dyDescent="0.35">
      <c r="A11" s="18" t="s">
        <v>156</v>
      </c>
      <c r="B11" s="18" t="s">
        <v>157</v>
      </c>
      <c r="C11" s="19" t="s">
        <v>158</v>
      </c>
      <c r="D11" s="19" t="s">
        <v>119</v>
      </c>
      <c r="E11" s="19" t="s">
        <v>159</v>
      </c>
      <c r="F11" s="19" t="s">
        <v>160</v>
      </c>
      <c r="G11" s="20" t="s">
        <v>140</v>
      </c>
      <c r="H11" s="20">
        <v>3</v>
      </c>
    </row>
    <row r="12" spans="1:8" ht="48.75" customHeight="1" x14ac:dyDescent="0.35">
      <c r="A12" s="19"/>
      <c r="B12" s="19"/>
      <c r="C12" s="19"/>
      <c r="D12" s="19"/>
      <c r="E12" s="19" t="s">
        <v>161</v>
      </c>
      <c r="F12" s="19" t="s">
        <v>162</v>
      </c>
      <c r="G12" s="21"/>
      <c r="H12" s="21"/>
    </row>
    <row r="13" spans="1:8" ht="18.75" customHeight="1" x14ac:dyDescent="0.35">
      <c r="A13" s="19"/>
      <c r="B13" s="19"/>
      <c r="C13" s="19"/>
      <c r="D13" s="19"/>
      <c r="E13" s="19" t="s">
        <v>163</v>
      </c>
      <c r="F13" s="19" t="s">
        <v>164</v>
      </c>
      <c r="G13" s="21"/>
      <c r="H13" s="21"/>
    </row>
    <row r="14" spans="1:8" x14ac:dyDescent="0.35">
      <c r="A14" s="22"/>
      <c r="B14" s="22"/>
      <c r="C14" s="22"/>
      <c r="D14" s="22"/>
      <c r="E14" s="22"/>
      <c r="F14" s="22"/>
    </row>
    <row r="15" spans="1:8" ht="33.75" customHeight="1" x14ac:dyDescent="0.35">
      <c r="A15" s="18" t="s">
        <v>165</v>
      </c>
      <c r="B15" s="18" t="s">
        <v>166</v>
      </c>
      <c r="C15" s="19" t="s">
        <v>167</v>
      </c>
      <c r="D15" s="19" t="s">
        <v>119</v>
      </c>
      <c r="E15" s="19" t="s">
        <v>168</v>
      </c>
      <c r="F15" s="19" t="s">
        <v>169</v>
      </c>
      <c r="G15" s="20" t="s">
        <v>140</v>
      </c>
      <c r="H15" s="20">
        <v>3</v>
      </c>
    </row>
    <row r="16" spans="1:8" ht="33.75" customHeight="1" x14ac:dyDescent="0.35">
      <c r="A16" s="19"/>
      <c r="B16" s="19"/>
      <c r="C16" s="19"/>
      <c r="D16" s="19"/>
      <c r="E16" s="19" t="s">
        <v>170</v>
      </c>
      <c r="F16" s="19" t="s">
        <v>171</v>
      </c>
      <c r="G16" s="21"/>
      <c r="H16" s="21"/>
    </row>
    <row r="17" spans="1:8" ht="63.75" customHeight="1" x14ac:dyDescent="0.35">
      <c r="A17" s="19"/>
      <c r="B17" s="19"/>
      <c r="C17" s="19"/>
      <c r="D17" s="19"/>
      <c r="E17" s="19" t="s">
        <v>172</v>
      </c>
      <c r="F17" s="19" t="s">
        <v>173</v>
      </c>
      <c r="G17" s="21"/>
      <c r="H17" s="21"/>
    </row>
    <row r="19" spans="1:8" ht="33.75" customHeight="1" x14ac:dyDescent="0.35">
      <c r="A19" s="18" t="s">
        <v>174</v>
      </c>
      <c r="B19" s="18" t="s">
        <v>175</v>
      </c>
      <c r="C19" s="19" t="s">
        <v>176</v>
      </c>
      <c r="D19" s="19" t="s">
        <v>119</v>
      </c>
      <c r="E19" s="19" t="s">
        <v>177</v>
      </c>
      <c r="F19" s="19" t="s">
        <v>178</v>
      </c>
      <c r="G19" s="20" t="s">
        <v>140</v>
      </c>
      <c r="H19" s="20">
        <v>3</v>
      </c>
    </row>
    <row r="20" spans="1:8" ht="18.75" customHeight="1" x14ac:dyDescent="0.35">
      <c r="A20" s="19"/>
      <c r="B20" s="19"/>
      <c r="C20" s="19"/>
      <c r="D20" s="19"/>
      <c r="E20" s="19" t="s">
        <v>179</v>
      </c>
      <c r="F20" s="19" t="s">
        <v>180</v>
      </c>
      <c r="G20" s="21"/>
      <c r="H20" s="21"/>
    </row>
    <row r="21" spans="1:8" ht="33.75" customHeight="1" x14ac:dyDescent="0.35">
      <c r="A21" s="19"/>
      <c r="B21" s="19"/>
      <c r="C21" s="19"/>
      <c r="D21" s="19"/>
      <c r="E21" s="19" t="s">
        <v>181</v>
      </c>
      <c r="F21" s="19" t="s">
        <v>182</v>
      </c>
      <c r="G21" s="21"/>
      <c r="H21" s="21"/>
    </row>
    <row r="22" spans="1:8" ht="33.75" customHeight="1" x14ac:dyDescent="0.35">
      <c r="A22" s="19"/>
      <c r="B22" s="19"/>
      <c r="C22" s="19"/>
      <c r="D22" s="19"/>
      <c r="E22" s="19" t="s">
        <v>183</v>
      </c>
      <c r="F22" s="19" t="s">
        <v>184</v>
      </c>
      <c r="G22" s="21"/>
      <c r="H22" s="21"/>
    </row>
    <row r="24" spans="1:8" ht="33.75" customHeight="1" x14ac:dyDescent="0.35">
      <c r="A24" s="18" t="s">
        <v>185</v>
      </c>
      <c r="B24" s="18" t="s">
        <v>186</v>
      </c>
      <c r="C24" s="19" t="s">
        <v>187</v>
      </c>
      <c r="D24" s="19" t="s">
        <v>119</v>
      </c>
      <c r="E24" s="19" t="s">
        <v>188</v>
      </c>
      <c r="F24" s="19" t="s">
        <v>189</v>
      </c>
      <c r="G24" s="20" t="s">
        <v>190</v>
      </c>
      <c r="H24" s="20">
        <v>2</v>
      </c>
    </row>
    <row r="25" spans="1:8" ht="33.75" customHeight="1" x14ac:dyDescent="0.35">
      <c r="A25" s="19"/>
      <c r="B25" s="19"/>
      <c r="C25" s="19"/>
      <c r="D25" s="19"/>
      <c r="E25" s="19" t="s">
        <v>191</v>
      </c>
      <c r="F25" s="19" t="s">
        <v>192</v>
      </c>
      <c r="G25" s="21"/>
      <c r="H25" s="21"/>
    </row>
    <row r="26" spans="1:8" ht="18.75" customHeight="1" x14ac:dyDescent="0.35">
      <c r="A26" s="19"/>
      <c r="B26" s="19"/>
      <c r="C26" s="19"/>
      <c r="D26" s="19"/>
      <c r="E26" s="19" t="s">
        <v>193</v>
      </c>
      <c r="F26" s="19" t="s">
        <v>194</v>
      </c>
      <c r="G26" s="21"/>
      <c r="H26" s="21"/>
    </row>
    <row r="27" spans="1:8" ht="48.75" customHeight="1" x14ac:dyDescent="0.35">
      <c r="A27" s="19"/>
      <c r="B27" s="19"/>
      <c r="C27" s="19"/>
      <c r="D27" s="19"/>
      <c r="E27" s="19" t="s">
        <v>195</v>
      </c>
      <c r="F27" s="19" t="s">
        <v>196</v>
      </c>
      <c r="G27" s="21"/>
      <c r="H27" s="21"/>
    </row>
    <row r="29" spans="1:8" ht="33.75" customHeight="1" x14ac:dyDescent="0.35">
      <c r="A29" s="18" t="s">
        <v>197</v>
      </c>
      <c r="B29" s="18" t="s">
        <v>198</v>
      </c>
      <c r="C29" s="19" t="s">
        <v>199</v>
      </c>
      <c r="D29" s="19" t="s">
        <v>119</v>
      </c>
      <c r="E29" s="19" t="s">
        <v>200</v>
      </c>
      <c r="F29" s="19" t="s">
        <v>201</v>
      </c>
      <c r="G29" s="20" t="s">
        <v>190</v>
      </c>
      <c r="H29" s="20">
        <v>3</v>
      </c>
    </row>
    <row r="30" spans="1:8" ht="18.75" customHeight="1" x14ac:dyDescent="0.35">
      <c r="A30" s="19"/>
      <c r="B30" s="19"/>
      <c r="C30" s="19"/>
      <c r="D30" s="19"/>
      <c r="E30" s="19" t="s">
        <v>202</v>
      </c>
      <c r="F30" s="19" t="s">
        <v>203</v>
      </c>
      <c r="G30" s="21"/>
      <c r="H30" s="21"/>
    </row>
    <row r="31" spans="1:8" ht="18.75" customHeight="1" x14ac:dyDescent="0.35">
      <c r="A31" s="19"/>
      <c r="B31" s="19"/>
      <c r="C31" s="19"/>
      <c r="D31" s="19"/>
      <c r="E31" s="19" t="s">
        <v>204</v>
      </c>
      <c r="F31" s="19" t="s">
        <v>205</v>
      </c>
      <c r="G31" s="21"/>
      <c r="H31" s="21"/>
    </row>
    <row r="33" spans="1:8" ht="33.75" customHeight="1" x14ac:dyDescent="0.35">
      <c r="A33" s="18" t="s">
        <v>206</v>
      </c>
      <c r="B33" s="18" t="s">
        <v>207</v>
      </c>
      <c r="C33" s="19" t="s">
        <v>208</v>
      </c>
      <c r="D33" s="19" t="s">
        <v>119</v>
      </c>
      <c r="E33" s="19" t="s">
        <v>209</v>
      </c>
      <c r="F33" s="19" t="s">
        <v>210</v>
      </c>
      <c r="G33" s="20" t="s">
        <v>190</v>
      </c>
      <c r="H33" s="20">
        <v>5</v>
      </c>
    </row>
    <row r="34" spans="1:8" ht="33.75" customHeight="1" x14ac:dyDescent="0.35">
      <c r="A34" s="19"/>
      <c r="B34" s="19"/>
      <c r="C34" s="19"/>
      <c r="D34" s="19"/>
      <c r="E34" s="19" t="s">
        <v>211</v>
      </c>
      <c r="F34" s="19" t="s">
        <v>212</v>
      </c>
      <c r="G34" s="21"/>
      <c r="H34" s="21"/>
    </row>
    <row r="35" spans="1:8" ht="33.75" customHeight="1" x14ac:dyDescent="0.35">
      <c r="A35" s="19"/>
      <c r="B35" s="19"/>
      <c r="C35" s="19"/>
      <c r="D35" s="19"/>
      <c r="E35" s="19" t="s">
        <v>213</v>
      </c>
      <c r="F35" s="19" t="s">
        <v>214</v>
      </c>
      <c r="G35" s="21"/>
      <c r="H35" s="21"/>
    </row>
    <row r="37" spans="1:8" ht="33.75" customHeight="1" x14ac:dyDescent="0.35">
      <c r="A37" s="18" t="s">
        <v>215</v>
      </c>
      <c r="B37" s="18" t="s">
        <v>216</v>
      </c>
      <c r="C37" s="19" t="s">
        <v>217</v>
      </c>
      <c r="D37" s="19" t="s">
        <v>119</v>
      </c>
      <c r="E37" s="19" t="s">
        <v>218</v>
      </c>
      <c r="F37" s="19" t="s">
        <v>219</v>
      </c>
      <c r="G37" s="20" t="s">
        <v>190</v>
      </c>
      <c r="H37" s="20">
        <v>3</v>
      </c>
    </row>
    <row r="38" spans="1:8" ht="48.75" customHeight="1" x14ac:dyDescent="0.35">
      <c r="A38" s="19"/>
      <c r="B38" s="19"/>
      <c r="C38" s="19"/>
      <c r="D38" s="19"/>
      <c r="E38" s="19" t="s">
        <v>220</v>
      </c>
      <c r="F38" s="19" t="s">
        <v>221</v>
      </c>
      <c r="G38" s="21"/>
      <c r="H38" s="21"/>
    </row>
    <row r="39" spans="1:8" ht="33.75" customHeight="1" x14ac:dyDescent="0.35">
      <c r="A39" s="19"/>
      <c r="B39" s="19"/>
      <c r="C39" s="19"/>
      <c r="D39" s="19"/>
      <c r="E39" s="19" t="s">
        <v>222</v>
      </c>
      <c r="F39" s="19" t="s">
        <v>223</v>
      </c>
      <c r="G39" s="21"/>
      <c r="H39" s="21"/>
    </row>
    <row r="41" spans="1:8" ht="33.75" customHeight="1" x14ac:dyDescent="0.35">
      <c r="A41" s="18" t="s">
        <v>224</v>
      </c>
      <c r="B41" s="18" t="s">
        <v>225</v>
      </c>
      <c r="C41" s="19" t="s">
        <v>226</v>
      </c>
      <c r="D41" s="19" t="s">
        <v>119</v>
      </c>
      <c r="E41" s="19" t="s">
        <v>227</v>
      </c>
      <c r="F41" s="19" t="s">
        <v>228</v>
      </c>
      <c r="G41" s="20" t="s">
        <v>190</v>
      </c>
      <c r="H41" s="20">
        <v>2</v>
      </c>
    </row>
    <row r="42" spans="1:8" ht="33.75" customHeight="1" x14ac:dyDescent="0.35">
      <c r="A42" s="19"/>
      <c r="B42" s="19"/>
      <c r="C42" s="19"/>
      <c r="D42" s="19"/>
      <c r="E42" s="19" t="s">
        <v>229</v>
      </c>
      <c r="F42" s="19" t="s">
        <v>230</v>
      </c>
      <c r="G42" s="21"/>
      <c r="H42" s="21"/>
    </row>
    <row r="43" spans="1:8" ht="18.75" customHeight="1" x14ac:dyDescent="0.35">
      <c r="A43" s="19"/>
      <c r="B43" s="19"/>
      <c r="C43" s="19"/>
      <c r="D43" s="19"/>
      <c r="E43" s="19" t="s">
        <v>231</v>
      </c>
      <c r="F43" s="19" t="s">
        <v>232</v>
      </c>
      <c r="G43" s="21"/>
      <c r="H43" s="21"/>
    </row>
    <row r="45" spans="1:8" ht="33.75" customHeight="1" x14ac:dyDescent="0.35">
      <c r="A45" s="18" t="s">
        <v>233</v>
      </c>
      <c r="B45" s="18" t="s">
        <v>234</v>
      </c>
      <c r="C45" s="19" t="s">
        <v>235</v>
      </c>
      <c r="D45" s="19" t="s">
        <v>119</v>
      </c>
      <c r="E45" s="19" t="s">
        <v>236</v>
      </c>
      <c r="F45" s="19" t="s">
        <v>237</v>
      </c>
      <c r="G45" s="20" t="s">
        <v>140</v>
      </c>
      <c r="H45" s="20">
        <v>3</v>
      </c>
    </row>
    <row r="46" spans="1:8" ht="33.75" customHeight="1" x14ac:dyDescent="0.35">
      <c r="A46" s="19"/>
      <c r="B46" s="19"/>
      <c r="C46" s="19"/>
      <c r="D46" s="19"/>
      <c r="E46" s="19" t="s">
        <v>238</v>
      </c>
      <c r="F46" s="19" t="s">
        <v>239</v>
      </c>
      <c r="G46" s="21"/>
      <c r="H46" s="21"/>
    </row>
    <row r="47" spans="1:8" ht="15.75" customHeight="1" x14ac:dyDescent="0.35"/>
    <row r="48" spans="1:8" ht="45" customHeight="1" x14ac:dyDescent="0.35">
      <c r="A48" s="5" t="s">
        <v>240</v>
      </c>
      <c r="B48" s="5"/>
      <c r="C48" s="5"/>
      <c r="D48" s="5"/>
      <c r="E48" s="5"/>
      <c r="F48" s="5"/>
      <c r="G48" s="5"/>
      <c r="H48" s="5"/>
    </row>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48:H48"/>
  </mergeCells>
  <pageMargins left="0.7" right="0.7" top="0.75" bottom="0.75"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000"/>
  <sheetViews>
    <sheetView zoomScaleNormal="100" workbookViewId="0"/>
  </sheetViews>
  <sheetFormatPr defaultColWidth="12.6328125" defaultRowHeight="14.5" x14ac:dyDescent="0.35"/>
  <cols>
    <col min="1" max="1" width="6.26953125" customWidth="1"/>
    <col min="2" max="2" width="62.08984375" customWidth="1"/>
    <col min="3" max="3" width="12.08984375" customWidth="1"/>
    <col min="4" max="4" width="11.90625" customWidth="1"/>
    <col min="5" max="5" width="11.7265625" customWidth="1"/>
    <col min="6" max="6" width="13.6328125" customWidth="1"/>
    <col min="7" max="7" width="12.36328125" customWidth="1"/>
    <col min="8" max="8" width="13.26953125" customWidth="1"/>
    <col min="9" max="9" width="14.6328125" customWidth="1"/>
    <col min="10" max="10" width="13.7265625" customWidth="1"/>
    <col min="11" max="11" width="13.08984375" customWidth="1"/>
    <col min="12" max="12" width="13.7265625" customWidth="1"/>
    <col min="13" max="13" width="14" customWidth="1"/>
    <col min="14" max="14" width="13.08984375" customWidth="1"/>
    <col min="15" max="15" width="13.7265625" customWidth="1"/>
    <col min="16" max="16" width="12.7265625" customWidth="1"/>
    <col min="17" max="17" width="12.90625" customWidth="1"/>
    <col min="18" max="18" width="14.26953125" customWidth="1"/>
    <col min="19" max="19" width="13.6328125" customWidth="1"/>
    <col min="20" max="20" width="11.36328125" customWidth="1"/>
  </cols>
  <sheetData>
    <row r="1" spans="1:20" ht="26.25" customHeight="1" x14ac:dyDescent="0.35">
      <c r="A1" s="23" t="s">
        <v>127</v>
      </c>
      <c r="B1" s="23" t="s">
        <v>241</v>
      </c>
      <c r="C1" s="23" t="s">
        <v>242</v>
      </c>
      <c r="D1" s="23" t="s">
        <v>243</v>
      </c>
      <c r="E1" s="23" t="s">
        <v>244</v>
      </c>
      <c r="F1" s="23" t="s">
        <v>245</v>
      </c>
      <c r="G1" s="23" t="s">
        <v>246</v>
      </c>
      <c r="H1" s="23" t="s">
        <v>247</v>
      </c>
      <c r="I1" s="23" t="s">
        <v>248</v>
      </c>
      <c r="J1" s="23" t="s">
        <v>249</v>
      </c>
      <c r="K1" s="23" t="s">
        <v>250</v>
      </c>
      <c r="L1" s="23" t="s">
        <v>251</v>
      </c>
      <c r="M1" s="23" t="s">
        <v>252</v>
      </c>
      <c r="N1" s="23" t="s">
        <v>253</v>
      </c>
      <c r="O1" s="23" t="s">
        <v>254</v>
      </c>
      <c r="P1" s="23" t="s">
        <v>255</v>
      </c>
      <c r="Q1" s="23" t="s">
        <v>256</v>
      </c>
      <c r="R1" s="23" t="s">
        <v>257</v>
      </c>
      <c r="S1" s="23" t="s">
        <v>258</v>
      </c>
      <c r="T1" s="23" t="s">
        <v>259</v>
      </c>
    </row>
    <row r="2" spans="1:20" ht="38.25" customHeight="1" x14ac:dyDescent="0.35">
      <c r="A2" s="9">
        <v>1</v>
      </c>
      <c r="B2" s="11" t="s">
        <v>260</v>
      </c>
      <c r="C2" s="11" t="s">
        <v>261</v>
      </c>
      <c r="D2" s="24"/>
      <c r="E2" s="24"/>
      <c r="F2" s="24"/>
      <c r="G2" s="24"/>
      <c r="H2" s="22"/>
      <c r="I2" s="22"/>
      <c r="J2" s="22"/>
      <c r="K2" s="22"/>
      <c r="L2" s="22"/>
      <c r="M2" s="22"/>
      <c r="N2" s="22"/>
      <c r="O2" s="22"/>
      <c r="P2" s="22"/>
      <c r="Q2" s="22"/>
      <c r="R2" s="22"/>
      <c r="S2" s="22"/>
      <c r="T2" s="22"/>
    </row>
    <row r="3" spans="1:20" ht="36" customHeight="1" x14ac:dyDescent="0.35">
      <c r="A3" s="9">
        <v>2</v>
      </c>
      <c r="B3" s="11" t="s">
        <v>262</v>
      </c>
      <c r="C3" s="11" t="s">
        <v>263</v>
      </c>
      <c r="D3" s="22"/>
      <c r="E3" s="22"/>
      <c r="F3" s="22"/>
      <c r="G3" s="22"/>
      <c r="H3" s="25"/>
      <c r="I3" s="25"/>
      <c r="J3" s="22"/>
      <c r="K3" s="22"/>
      <c r="L3" s="22"/>
      <c r="M3" s="22"/>
      <c r="N3" s="22"/>
      <c r="O3" s="22"/>
      <c r="P3" s="22"/>
      <c r="Q3" s="22"/>
      <c r="R3" s="22"/>
      <c r="S3" s="22"/>
      <c r="T3" s="22"/>
    </row>
    <row r="4" spans="1:20" ht="39" customHeight="1" x14ac:dyDescent="0.35">
      <c r="A4" s="9">
        <v>3</v>
      </c>
      <c r="B4" s="11" t="s">
        <v>264</v>
      </c>
      <c r="C4" s="11" t="s">
        <v>265</v>
      </c>
      <c r="D4" s="22"/>
      <c r="E4" s="22"/>
      <c r="F4" s="22"/>
      <c r="G4" s="22"/>
      <c r="H4" s="22"/>
      <c r="I4" s="22"/>
      <c r="J4" s="26"/>
      <c r="K4" s="26"/>
      <c r="L4" s="26"/>
      <c r="M4" s="26"/>
      <c r="N4" s="26"/>
      <c r="O4" s="26"/>
      <c r="P4" s="22"/>
      <c r="Q4" s="22"/>
      <c r="R4" s="22"/>
      <c r="S4" s="22"/>
      <c r="T4" s="22"/>
    </row>
    <row r="5" spans="1:20" ht="45.75" customHeight="1" x14ac:dyDescent="0.35">
      <c r="A5" s="9">
        <v>4</v>
      </c>
      <c r="B5" s="11" t="s">
        <v>266</v>
      </c>
      <c r="C5" s="11" t="s">
        <v>261</v>
      </c>
      <c r="D5" s="22"/>
      <c r="E5" s="22"/>
      <c r="F5" s="22"/>
      <c r="G5" s="22"/>
      <c r="H5" s="22"/>
      <c r="I5" s="22"/>
      <c r="J5" s="22"/>
      <c r="K5" s="22"/>
      <c r="L5" s="22"/>
      <c r="M5" s="22"/>
      <c r="N5" s="22"/>
      <c r="O5" s="22"/>
      <c r="P5" s="27"/>
      <c r="Q5" s="27"/>
      <c r="R5" s="27"/>
      <c r="S5" s="27"/>
      <c r="T5" s="22"/>
    </row>
    <row r="6" spans="1:20" ht="39" customHeight="1" x14ac:dyDescent="0.35">
      <c r="A6" s="9">
        <v>5</v>
      </c>
      <c r="B6" s="28" t="s">
        <v>267</v>
      </c>
      <c r="C6" s="11" t="s">
        <v>268</v>
      </c>
      <c r="D6" s="22"/>
      <c r="E6" s="22"/>
      <c r="F6" s="22"/>
      <c r="G6" s="22"/>
      <c r="H6" s="22"/>
      <c r="I6" s="22"/>
      <c r="J6" s="22"/>
      <c r="K6" s="22"/>
      <c r="L6" s="22"/>
      <c r="M6" s="22"/>
      <c r="N6" s="22"/>
      <c r="O6" s="22"/>
      <c r="P6" s="22"/>
      <c r="Q6" s="22"/>
      <c r="R6" s="22"/>
      <c r="S6" s="22"/>
      <c r="T6" s="29"/>
    </row>
    <row r="7" spans="1:20" ht="28.5" customHeight="1" x14ac:dyDescent="0.35">
      <c r="A7" s="30"/>
      <c r="B7" s="31" t="s">
        <v>269</v>
      </c>
      <c r="C7" s="31" t="s">
        <v>270</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B1000"/>
  <sheetViews>
    <sheetView tabSelected="1" zoomScaleNormal="100" workbookViewId="0">
      <pane xSplit="6" ySplit="4" topLeftCell="K5" activePane="bottomRight" state="frozen"/>
      <selection pane="topRight" activeCell="G1" sqref="G1"/>
      <selection pane="bottomLeft" activeCell="A7" sqref="A7"/>
      <selection pane="bottomRight" activeCell="F42" sqref="F42"/>
    </sheetView>
  </sheetViews>
  <sheetFormatPr defaultColWidth="12.6328125" defaultRowHeight="14.5" x14ac:dyDescent="0.35"/>
  <cols>
    <col min="1" max="1" width="8.6328125" customWidth="1"/>
    <col min="2" max="2" width="62" customWidth="1"/>
    <col min="3" max="3" width="22" customWidth="1"/>
    <col min="4" max="6" width="8.6328125" customWidth="1"/>
    <col min="7" max="132" width="3.7265625" customWidth="1"/>
  </cols>
  <sheetData>
    <row r="1" spans="1:132" ht="33.75" customHeight="1" x14ac:dyDescent="0.35">
      <c r="A1" s="32"/>
      <c r="B1" s="33" t="s">
        <v>271</v>
      </c>
      <c r="G1" s="34">
        <f>$E$4</f>
        <v>46307</v>
      </c>
      <c r="H1" s="34">
        <f t="shared" ref="H1:AM1" si="0">G1+1</f>
        <v>46308</v>
      </c>
      <c r="I1" s="34">
        <f t="shared" si="0"/>
        <v>46309</v>
      </c>
      <c r="J1" s="34">
        <f t="shared" si="0"/>
        <v>46310</v>
      </c>
      <c r="K1" s="34">
        <f t="shared" si="0"/>
        <v>46311</v>
      </c>
      <c r="L1" s="34">
        <f t="shared" si="0"/>
        <v>46312</v>
      </c>
      <c r="M1" s="34">
        <f t="shared" si="0"/>
        <v>46313</v>
      </c>
      <c r="N1" s="34">
        <f t="shared" si="0"/>
        <v>46314</v>
      </c>
      <c r="O1" s="34">
        <f t="shared" si="0"/>
        <v>46315</v>
      </c>
      <c r="P1" s="34">
        <f t="shared" si="0"/>
        <v>46316</v>
      </c>
      <c r="Q1" s="34">
        <f t="shared" si="0"/>
        <v>46317</v>
      </c>
      <c r="R1" s="34">
        <f t="shared" si="0"/>
        <v>46318</v>
      </c>
      <c r="S1" s="34">
        <f t="shared" si="0"/>
        <v>46319</v>
      </c>
      <c r="T1" s="34">
        <f t="shared" si="0"/>
        <v>46320</v>
      </c>
      <c r="U1" s="34">
        <f t="shared" si="0"/>
        <v>46321</v>
      </c>
      <c r="V1" s="34">
        <f t="shared" si="0"/>
        <v>46322</v>
      </c>
      <c r="W1" s="34">
        <f t="shared" si="0"/>
        <v>46323</v>
      </c>
      <c r="X1" s="34">
        <f t="shared" si="0"/>
        <v>46324</v>
      </c>
      <c r="Y1" s="34">
        <f t="shared" si="0"/>
        <v>46325</v>
      </c>
      <c r="Z1" s="34">
        <f t="shared" si="0"/>
        <v>46326</v>
      </c>
      <c r="AA1" s="34">
        <f t="shared" si="0"/>
        <v>46327</v>
      </c>
      <c r="AB1" s="34">
        <f t="shared" si="0"/>
        <v>46328</v>
      </c>
      <c r="AC1" s="34">
        <f t="shared" si="0"/>
        <v>46329</v>
      </c>
      <c r="AD1" s="34">
        <f t="shared" si="0"/>
        <v>46330</v>
      </c>
      <c r="AE1" s="34">
        <f t="shared" si="0"/>
        <v>46331</v>
      </c>
      <c r="AF1" s="34">
        <f t="shared" si="0"/>
        <v>46332</v>
      </c>
      <c r="AG1" s="34">
        <f t="shared" si="0"/>
        <v>46333</v>
      </c>
      <c r="AH1" s="34">
        <f t="shared" si="0"/>
        <v>46334</v>
      </c>
      <c r="AI1" s="34">
        <f t="shared" si="0"/>
        <v>46335</v>
      </c>
      <c r="AJ1" s="34">
        <f t="shared" si="0"/>
        <v>46336</v>
      </c>
      <c r="AK1" s="34">
        <f t="shared" si="0"/>
        <v>46337</v>
      </c>
      <c r="AL1" s="34">
        <f t="shared" si="0"/>
        <v>46338</v>
      </c>
      <c r="AM1" s="34">
        <f t="shared" si="0"/>
        <v>46339</v>
      </c>
      <c r="AN1" s="34">
        <f t="shared" ref="AN1:BS1" si="1">AM1+1</f>
        <v>46340</v>
      </c>
      <c r="AO1" s="34">
        <f t="shared" si="1"/>
        <v>46341</v>
      </c>
      <c r="AP1" s="34">
        <f t="shared" si="1"/>
        <v>46342</v>
      </c>
      <c r="AQ1" s="34">
        <f t="shared" si="1"/>
        <v>46343</v>
      </c>
      <c r="AR1" s="34">
        <f t="shared" si="1"/>
        <v>46344</v>
      </c>
      <c r="AS1" s="34">
        <f t="shared" si="1"/>
        <v>46345</v>
      </c>
      <c r="AT1" s="34">
        <f t="shared" si="1"/>
        <v>46346</v>
      </c>
      <c r="AU1" s="34">
        <f t="shared" si="1"/>
        <v>46347</v>
      </c>
      <c r="AV1" s="34">
        <f t="shared" si="1"/>
        <v>46348</v>
      </c>
      <c r="AW1" s="34">
        <f t="shared" si="1"/>
        <v>46349</v>
      </c>
      <c r="AX1" s="34">
        <f t="shared" si="1"/>
        <v>46350</v>
      </c>
      <c r="AY1" s="34">
        <f t="shared" si="1"/>
        <v>46351</v>
      </c>
      <c r="AZ1" s="34">
        <f t="shared" si="1"/>
        <v>46352</v>
      </c>
      <c r="BA1" s="34">
        <f t="shared" si="1"/>
        <v>46353</v>
      </c>
      <c r="BB1" s="34">
        <f t="shared" si="1"/>
        <v>46354</v>
      </c>
      <c r="BC1" s="34">
        <f t="shared" si="1"/>
        <v>46355</v>
      </c>
      <c r="BD1" s="34">
        <f t="shared" si="1"/>
        <v>46356</v>
      </c>
      <c r="BE1" s="34">
        <f t="shared" si="1"/>
        <v>46357</v>
      </c>
      <c r="BF1" s="34">
        <f t="shared" si="1"/>
        <v>46358</v>
      </c>
      <c r="BG1" s="34">
        <f t="shared" si="1"/>
        <v>46359</v>
      </c>
      <c r="BH1" s="34">
        <f t="shared" si="1"/>
        <v>46360</v>
      </c>
      <c r="BI1" s="34">
        <f t="shared" si="1"/>
        <v>46361</v>
      </c>
      <c r="BJ1" s="34">
        <f t="shared" si="1"/>
        <v>46362</v>
      </c>
      <c r="BK1" s="34">
        <f t="shared" si="1"/>
        <v>46363</v>
      </c>
      <c r="BL1" s="34">
        <f t="shared" si="1"/>
        <v>46364</v>
      </c>
      <c r="BM1" s="34">
        <f t="shared" si="1"/>
        <v>46365</v>
      </c>
      <c r="BN1" s="34">
        <f t="shared" si="1"/>
        <v>46366</v>
      </c>
      <c r="BO1" s="34">
        <f t="shared" si="1"/>
        <v>46367</v>
      </c>
      <c r="BP1" s="34">
        <f t="shared" si="1"/>
        <v>46368</v>
      </c>
      <c r="BQ1" s="34">
        <f t="shared" si="1"/>
        <v>46369</v>
      </c>
      <c r="BR1" s="34">
        <f t="shared" si="1"/>
        <v>46370</v>
      </c>
      <c r="BS1" s="34">
        <f t="shared" si="1"/>
        <v>46371</v>
      </c>
      <c r="BT1" s="34">
        <f t="shared" ref="BT1:CY1" si="2">BS1+1</f>
        <v>46372</v>
      </c>
      <c r="BU1" s="34">
        <f t="shared" si="2"/>
        <v>46373</v>
      </c>
      <c r="BV1" s="34">
        <f t="shared" si="2"/>
        <v>46374</v>
      </c>
      <c r="BW1" s="34">
        <f t="shared" si="2"/>
        <v>46375</v>
      </c>
      <c r="BX1" s="34">
        <f t="shared" si="2"/>
        <v>46376</v>
      </c>
      <c r="BY1" s="34">
        <f t="shared" si="2"/>
        <v>46377</v>
      </c>
      <c r="BZ1" s="34">
        <f t="shared" si="2"/>
        <v>46378</v>
      </c>
      <c r="CA1" s="34">
        <f t="shared" si="2"/>
        <v>46379</v>
      </c>
      <c r="CB1" s="34">
        <f t="shared" si="2"/>
        <v>46380</v>
      </c>
      <c r="CC1" s="34">
        <f t="shared" si="2"/>
        <v>46381</v>
      </c>
      <c r="CD1" s="34">
        <f t="shared" si="2"/>
        <v>46382</v>
      </c>
      <c r="CE1" s="34">
        <f t="shared" si="2"/>
        <v>46383</v>
      </c>
      <c r="CF1" s="34">
        <f t="shared" si="2"/>
        <v>46384</v>
      </c>
      <c r="CG1" s="34">
        <f t="shared" si="2"/>
        <v>46385</v>
      </c>
      <c r="CH1" s="34">
        <f t="shared" si="2"/>
        <v>46386</v>
      </c>
      <c r="CI1" s="34">
        <f t="shared" si="2"/>
        <v>46387</v>
      </c>
      <c r="CJ1" s="34">
        <f t="shared" si="2"/>
        <v>46388</v>
      </c>
      <c r="CK1" s="34">
        <f t="shared" si="2"/>
        <v>46389</v>
      </c>
      <c r="CL1" s="34">
        <f t="shared" si="2"/>
        <v>46390</v>
      </c>
      <c r="CM1" s="34">
        <f t="shared" si="2"/>
        <v>46391</v>
      </c>
      <c r="CN1" s="34">
        <f t="shared" si="2"/>
        <v>46392</v>
      </c>
      <c r="CO1" s="34">
        <f t="shared" si="2"/>
        <v>46393</v>
      </c>
      <c r="CP1" s="34">
        <f t="shared" si="2"/>
        <v>46394</v>
      </c>
      <c r="CQ1" s="34">
        <f t="shared" si="2"/>
        <v>46395</v>
      </c>
      <c r="CR1" s="34">
        <f t="shared" si="2"/>
        <v>46396</v>
      </c>
      <c r="CS1" s="34">
        <f t="shared" si="2"/>
        <v>46397</v>
      </c>
      <c r="CT1" s="34">
        <f t="shared" si="2"/>
        <v>46398</v>
      </c>
      <c r="CU1" s="34">
        <f t="shared" si="2"/>
        <v>46399</v>
      </c>
      <c r="CV1" s="34">
        <f t="shared" si="2"/>
        <v>46400</v>
      </c>
      <c r="CW1" s="34">
        <f t="shared" si="2"/>
        <v>46401</v>
      </c>
      <c r="CX1" s="34">
        <f t="shared" si="2"/>
        <v>46402</v>
      </c>
      <c r="CY1" s="34">
        <f t="shared" si="2"/>
        <v>46403</v>
      </c>
      <c r="CZ1" s="34">
        <f t="shared" ref="CZ1:EB1" si="3">CY1+1</f>
        <v>46404</v>
      </c>
      <c r="DA1" s="34">
        <f t="shared" si="3"/>
        <v>46405</v>
      </c>
      <c r="DB1" s="34">
        <f t="shared" si="3"/>
        <v>46406</v>
      </c>
      <c r="DC1" s="34">
        <f t="shared" si="3"/>
        <v>46407</v>
      </c>
      <c r="DD1" s="34">
        <f t="shared" si="3"/>
        <v>46408</v>
      </c>
      <c r="DE1" s="34">
        <f t="shared" si="3"/>
        <v>46409</v>
      </c>
      <c r="DF1" s="34">
        <f t="shared" si="3"/>
        <v>46410</v>
      </c>
      <c r="DG1" s="34">
        <f t="shared" si="3"/>
        <v>46411</v>
      </c>
      <c r="DH1" s="34">
        <f t="shared" si="3"/>
        <v>46412</v>
      </c>
      <c r="DI1" s="34">
        <f t="shared" si="3"/>
        <v>46413</v>
      </c>
      <c r="DJ1" s="34">
        <f t="shared" si="3"/>
        <v>46414</v>
      </c>
      <c r="DK1" s="34">
        <f t="shared" si="3"/>
        <v>46415</v>
      </c>
      <c r="DL1" s="34">
        <f t="shared" si="3"/>
        <v>46416</v>
      </c>
      <c r="DM1" s="34">
        <f t="shared" si="3"/>
        <v>46417</v>
      </c>
      <c r="DN1" s="34">
        <f t="shared" si="3"/>
        <v>46418</v>
      </c>
      <c r="DO1" s="34">
        <f t="shared" si="3"/>
        <v>46419</v>
      </c>
      <c r="DP1" s="34">
        <f t="shared" si="3"/>
        <v>46420</v>
      </c>
      <c r="DQ1" s="34">
        <f t="shared" si="3"/>
        <v>46421</v>
      </c>
      <c r="DR1" s="34">
        <f t="shared" si="3"/>
        <v>46422</v>
      </c>
      <c r="DS1" s="34">
        <f t="shared" si="3"/>
        <v>46423</v>
      </c>
      <c r="DT1" s="34">
        <f t="shared" si="3"/>
        <v>46424</v>
      </c>
      <c r="DU1" s="34">
        <f t="shared" si="3"/>
        <v>46425</v>
      </c>
      <c r="DV1" s="34">
        <f t="shared" si="3"/>
        <v>46426</v>
      </c>
      <c r="DW1" s="34">
        <f t="shared" si="3"/>
        <v>46427</v>
      </c>
      <c r="DX1" s="34">
        <f t="shared" si="3"/>
        <v>46428</v>
      </c>
      <c r="DY1" s="34">
        <f t="shared" si="3"/>
        <v>46429</v>
      </c>
      <c r="DZ1" s="34">
        <f t="shared" si="3"/>
        <v>46430</v>
      </c>
      <c r="EA1" s="34">
        <f t="shared" si="3"/>
        <v>46431</v>
      </c>
      <c r="EB1" s="34">
        <f t="shared" si="3"/>
        <v>46432</v>
      </c>
    </row>
    <row r="2" spans="1:132" ht="15.75" customHeight="1" x14ac:dyDescent="0.35">
      <c r="A2" s="35"/>
      <c r="B2" s="36" t="s">
        <v>272</v>
      </c>
      <c r="C2" s="37" t="s">
        <v>273</v>
      </c>
      <c r="D2" s="38" t="s">
        <v>242</v>
      </c>
      <c r="E2" s="37" t="s">
        <v>274</v>
      </c>
      <c r="F2" s="37" t="s">
        <v>275</v>
      </c>
      <c r="G2" s="4" t="s">
        <v>276</v>
      </c>
      <c r="H2" s="4"/>
      <c r="I2" s="4"/>
      <c r="J2" s="4"/>
      <c r="K2" s="4"/>
      <c r="L2" s="4"/>
      <c r="M2" s="4"/>
      <c r="N2" s="4"/>
      <c r="O2" s="4"/>
      <c r="P2" s="4"/>
      <c r="Q2" s="4"/>
      <c r="R2" s="4"/>
      <c r="S2" s="4"/>
      <c r="T2" s="4"/>
      <c r="U2" s="4" t="s">
        <v>277</v>
      </c>
      <c r="V2" s="4"/>
      <c r="W2" s="4"/>
      <c r="X2" s="4"/>
      <c r="Y2" s="4"/>
      <c r="Z2" s="4"/>
      <c r="AA2" s="4"/>
      <c r="AB2" s="4"/>
      <c r="AC2" s="4"/>
      <c r="AD2" s="4"/>
      <c r="AE2" s="4"/>
      <c r="AF2" s="4"/>
      <c r="AG2" s="4"/>
      <c r="AH2" s="4"/>
      <c r="AI2" s="4" t="s">
        <v>278</v>
      </c>
      <c r="AJ2" s="4"/>
      <c r="AK2" s="4"/>
      <c r="AL2" s="4"/>
      <c r="AM2" s="4"/>
      <c r="AN2" s="4"/>
      <c r="AO2" s="4"/>
      <c r="AP2" s="4"/>
      <c r="AQ2" s="4"/>
      <c r="AR2" s="4"/>
      <c r="AS2" s="4"/>
      <c r="AT2" s="4"/>
      <c r="AU2" s="4"/>
      <c r="AV2" s="4"/>
      <c r="AW2" s="4" t="s">
        <v>279</v>
      </c>
      <c r="AX2" s="4"/>
      <c r="AY2" s="4"/>
      <c r="AZ2" s="4"/>
      <c r="BA2" s="4"/>
      <c r="BB2" s="4"/>
      <c r="BC2" s="4"/>
      <c r="BD2" s="4"/>
      <c r="BE2" s="4"/>
      <c r="BF2" s="4"/>
      <c r="BG2" s="4"/>
      <c r="BH2" s="4"/>
      <c r="BI2" s="4"/>
      <c r="BJ2" s="4"/>
      <c r="BK2" s="4" t="s">
        <v>280</v>
      </c>
      <c r="BL2" s="4"/>
      <c r="BM2" s="4"/>
      <c r="BN2" s="4"/>
      <c r="BO2" s="4"/>
      <c r="BP2" s="4"/>
      <c r="BQ2" s="4"/>
      <c r="BR2" s="4"/>
      <c r="BS2" s="4"/>
      <c r="BT2" s="4"/>
      <c r="BU2" s="4"/>
      <c r="BV2" s="4"/>
      <c r="BW2" s="4"/>
      <c r="BX2" s="4"/>
      <c r="BY2" s="4" t="s">
        <v>281</v>
      </c>
      <c r="BZ2" s="4"/>
      <c r="CA2" s="4"/>
      <c r="CB2" s="4"/>
      <c r="CC2" s="4"/>
      <c r="CD2" s="4"/>
      <c r="CE2" s="4"/>
      <c r="CF2" s="4"/>
      <c r="CG2" s="4"/>
      <c r="CH2" s="4"/>
      <c r="CI2" s="4"/>
      <c r="CJ2" s="4"/>
      <c r="CK2" s="4"/>
      <c r="CL2" s="4"/>
      <c r="CM2" s="4" t="s">
        <v>282</v>
      </c>
      <c r="CN2" s="4"/>
      <c r="CO2" s="4"/>
      <c r="CP2" s="4"/>
      <c r="CQ2" s="4"/>
      <c r="CR2" s="4"/>
      <c r="CS2" s="4"/>
      <c r="CT2" s="4"/>
      <c r="CU2" s="4"/>
      <c r="CV2" s="4"/>
      <c r="CW2" s="4"/>
      <c r="CX2" s="4"/>
      <c r="CY2" s="4"/>
      <c r="CZ2" s="4"/>
      <c r="DA2" s="4" t="s">
        <v>283</v>
      </c>
      <c r="DB2" s="4"/>
      <c r="DC2" s="4"/>
      <c r="DD2" s="4"/>
      <c r="DE2" s="4"/>
      <c r="DF2" s="4"/>
      <c r="DG2" s="4"/>
      <c r="DH2" s="4"/>
      <c r="DI2" s="4"/>
      <c r="DJ2" s="4"/>
      <c r="DK2" s="4"/>
      <c r="DL2" s="4"/>
      <c r="DM2" s="4"/>
      <c r="DN2" s="4"/>
      <c r="DO2" s="4" t="s">
        <v>284</v>
      </c>
      <c r="DP2" s="4"/>
      <c r="DQ2" s="4"/>
      <c r="DR2" s="4"/>
      <c r="DS2" s="4"/>
      <c r="DT2" s="4"/>
      <c r="DU2" s="4"/>
      <c r="DV2" s="4"/>
      <c r="DW2" s="4"/>
      <c r="DX2" s="4"/>
      <c r="DY2" s="4"/>
      <c r="DZ2" s="4"/>
      <c r="EA2" s="4"/>
      <c r="EB2" s="4"/>
    </row>
    <row r="3" spans="1:132" ht="14.25" customHeight="1" x14ac:dyDescent="0.35">
      <c r="A3" s="39" t="s">
        <v>285</v>
      </c>
      <c r="B3" s="36" t="s">
        <v>286</v>
      </c>
      <c r="C3" s="40" t="s">
        <v>287</v>
      </c>
      <c r="D3" s="37" t="s">
        <v>288</v>
      </c>
      <c r="E3" s="37" t="s">
        <v>289</v>
      </c>
      <c r="F3" s="37" t="s">
        <v>289</v>
      </c>
      <c r="G3" s="41">
        <v>1</v>
      </c>
      <c r="H3" s="41">
        <v>2</v>
      </c>
      <c r="I3" s="41">
        <v>3</v>
      </c>
      <c r="J3" s="41">
        <v>4</v>
      </c>
      <c r="K3" s="41">
        <v>5</v>
      </c>
      <c r="L3" s="41">
        <v>6</v>
      </c>
      <c r="M3" s="41">
        <v>7</v>
      </c>
      <c r="N3" s="41">
        <v>8</v>
      </c>
      <c r="O3" s="41">
        <v>9</v>
      </c>
      <c r="P3" s="41">
        <v>10</v>
      </c>
      <c r="Q3" s="41">
        <v>11</v>
      </c>
      <c r="R3" s="41">
        <v>12</v>
      </c>
      <c r="S3" s="41">
        <v>13</v>
      </c>
      <c r="T3" s="41">
        <v>14</v>
      </c>
      <c r="U3" s="41">
        <v>1</v>
      </c>
      <c r="V3" s="41">
        <v>2</v>
      </c>
      <c r="W3" s="41">
        <v>3</v>
      </c>
      <c r="X3" s="41">
        <v>4</v>
      </c>
      <c r="Y3" s="41">
        <v>5</v>
      </c>
      <c r="Z3" s="41">
        <v>6</v>
      </c>
      <c r="AA3" s="41">
        <v>7</v>
      </c>
      <c r="AB3" s="41">
        <v>8</v>
      </c>
      <c r="AC3" s="41">
        <v>9</v>
      </c>
      <c r="AD3" s="41">
        <v>10</v>
      </c>
      <c r="AE3" s="41">
        <v>11</v>
      </c>
      <c r="AF3" s="41">
        <v>12</v>
      </c>
      <c r="AG3" s="41">
        <v>13</v>
      </c>
      <c r="AH3" s="41">
        <v>14</v>
      </c>
      <c r="AI3" s="41">
        <v>1</v>
      </c>
      <c r="AJ3" s="41">
        <v>2</v>
      </c>
      <c r="AK3" s="41">
        <v>3</v>
      </c>
      <c r="AL3" s="41">
        <v>4</v>
      </c>
      <c r="AM3" s="41">
        <v>5</v>
      </c>
      <c r="AN3" s="41">
        <v>6</v>
      </c>
      <c r="AO3" s="41">
        <v>7</v>
      </c>
      <c r="AP3" s="41">
        <v>8</v>
      </c>
      <c r="AQ3" s="41">
        <v>9</v>
      </c>
      <c r="AR3" s="41">
        <v>10</v>
      </c>
      <c r="AS3" s="41">
        <v>11</v>
      </c>
      <c r="AT3" s="41">
        <v>12</v>
      </c>
      <c r="AU3" s="41">
        <v>13</v>
      </c>
      <c r="AV3" s="41">
        <v>14</v>
      </c>
      <c r="AW3" s="41">
        <v>1</v>
      </c>
      <c r="AX3" s="41">
        <v>2</v>
      </c>
      <c r="AY3" s="41">
        <v>3</v>
      </c>
      <c r="AZ3" s="41">
        <v>4</v>
      </c>
      <c r="BA3" s="41">
        <v>5</v>
      </c>
      <c r="BB3" s="41">
        <v>6</v>
      </c>
      <c r="BC3" s="41">
        <v>7</v>
      </c>
      <c r="BD3" s="41">
        <v>8</v>
      </c>
      <c r="BE3" s="41">
        <v>9</v>
      </c>
      <c r="BF3" s="41">
        <v>10</v>
      </c>
      <c r="BG3" s="41">
        <v>11</v>
      </c>
      <c r="BH3" s="41">
        <v>12</v>
      </c>
      <c r="BI3" s="41">
        <v>13</v>
      </c>
      <c r="BJ3" s="41">
        <v>14</v>
      </c>
      <c r="BK3" s="41">
        <v>1</v>
      </c>
      <c r="BL3" s="41">
        <v>2</v>
      </c>
      <c r="BM3" s="41">
        <v>3</v>
      </c>
      <c r="BN3" s="41">
        <v>4</v>
      </c>
      <c r="BO3" s="41">
        <v>5</v>
      </c>
      <c r="BP3" s="41">
        <v>6</v>
      </c>
      <c r="BQ3" s="41">
        <v>7</v>
      </c>
      <c r="BR3" s="41">
        <v>8</v>
      </c>
      <c r="BS3" s="41">
        <v>9</v>
      </c>
      <c r="BT3" s="41">
        <v>10</v>
      </c>
      <c r="BU3" s="41">
        <v>11</v>
      </c>
      <c r="BV3" s="41">
        <v>12</v>
      </c>
      <c r="BW3" s="41">
        <v>13</v>
      </c>
      <c r="BX3" s="41">
        <v>14</v>
      </c>
      <c r="BY3" s="41">
        <v>1</v>
      </c>
      <c r="BZ3" s="41">
        <v>2</v>
      </c>
      <c r="CA3" s="41">
        <v>3</v>
      </c>
      <c r="CB3" s="41">
        <v>4</v>
      </c>
      <c r="CC3" s="41">
        <v>5</v>
      </c>
      <c r="CD3" s="41">
        <v>6</v>
      </c>
      <c r="CE3" s="41">
        <v>7</v>
      </c>
      <c r="CF3" s="41">
        <v>8</v>
      </c>
      <c r="CG3" s="41">
        <v>9</v>
      </c>
      <c r="CH3" s="41">
        <v>10</v>
      </c>
      <c r="CI3" s="41">
        <v>11</v>
      </c>
      <c r="CJ3" s="41">
        <v>12</v>
      </c>
      <c r="CK3" s="41">
        <v>13</v>
      </c>
      <c r="CL3" s="41">
        <v>14</v>
      </c>
      <c r="CM3" s="41">
        <v>1</v>
      </c>
      <c r="CN3" s="41">
        <v>2</v>
      </c>
      <c r="CO3" s="41">
        <v>3</v>
      </c>
      <c r="CP3" s="41">
        <v>4</v>
      </c>
      <c r="CQ3" s="41">
        <v>5</v>
      </c>
      <c r="CR3" s="41">
        <v>6</v>
      </c>
      <c r="CS3" s="41">
        <v>7</v>
      </c>
      <c r="CT3" s="41">
        <v>8</v>
      </c>
      <c r="CU3" s="41">
        <v>9</v>
      </c>
      <c r="CV3" s="41">
        <v>10</v>
      </c>
      <c r="CW3" s="41">
        <v>11</v>
      </c>
      <c r="CX3" s="41">
        <v>12</v>
      </c>
      <c r="CY3" s="41">
        <v>13</v>
      </c>
      <c r="CZ3" s="41">
        <v>14</v>
      </c>
      <c r="DA3" s="41">
        <v>1</v>
      </c>
      <c r="DB3" s="41">
        <v>2</v>
      </c>
      <c r="DC3" s="41">
        <v>3</v>
      </c>
      <c r="DD3" s="41">
        <v>4</v>
      </c>
      <c r="DE3" s="41">
        <v>5</v>
      </c>
      <c r="DF3" s="41">
        <v>6</v>
      </c>
      <c r="DG3" s="41">
        <v>7</v>
      </c>
      <c r="DH3" s="41">
        <v>8</v>
      </c>
      <c r="DI3" s="41">
        <v>9</v>
      </c>
      <c r="DJ3" s="41">
        <v>10</v>
      </c>
      <c r="DK3" s="41">
        <v>11</v>
      </c>
      <c r="DL3" s="41">
        <v>12</v>
      </c>
      <c r="DM3" s="41">
        <v>13</v>
      </c>
      <c r="DN3" s="41">
        <v>14</v>
      </c>
      <c r="DO3" s="41">
        <v>1</v>
      </c>
      <c r="DP3" s="41">
        <v>2</v>
      </c>
      <c r="DQ3" s="41">
        <v>3</v>
      </c>
      <c r="DR3" s="41">
        <v>4</v>
      </c>
      <c r="DS3" s="41">
        <v>5</v>
      </c>
      <c r="DT3" s="41">
        <v>6</v>
      </c>
      <c r="DU3" s="41">
        <v>7</v>
      </c>
      <c r="DV3" s="41">
        <v>8</v>
      </c>
      <c r="DW3" s="41">
        <v>9</v>
      </c>
      <c r="DX3" s="41">
        <v>10</v>
      </c>
      <c r="DY3" s="41">
        <v>11</v>
      </c>
      <c r="DZ3" s="41">
        <v>12</v>
      </c>
      <c r="EA3" s="41">
        <v>13</v>
      </c>
      <c r="EB3" s="41">
        <v>14</v>
      </c>
    </row>
    <row r="4" spans="1:132" ht="14.25" customHeight="1" x14ac:dyDescent="0.35">
      <c r="A4" s="35"/>
      <c r="B4" s="42" t="s">
        <v>290</v>
      </c>
      <c r="C4" s="38"/>
      <c r="D4" s="38"/>
      <c r="E4" s="43">
        <v>46307</v>
      </c>
      <c r="F4" s="38"/>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c r="BJ4" s="41"/>
      <c r="BK4" s="41"/>
      <c r="BL4" s="41"/>
      <c r="BM4" s="41"/>
      <c r="BN4" s="41"/>
      <c r="BO4" s="41"/>
      <c r="BP4" s="41"/>
      <c r="BQ4" s="41"/>
      <c r="BR4" s="41"/>
      <c r="BS4" s="41"/>
      <c r="BT4" s="41"/>
      <c r="BU4" s="41"/>
      <c r="BV4" s="41"/>
      <c r="BW4" s="41"/>
      <c r="BX4" s="41"/>
      <c r="BY4" s="41"/>
      <c r="BZ4" s="41"/>
      <c r="CA4" s="41"/>
      <c r="CB4" s="41"/>
      <c r="CC4" s="41"/>
      <c r="CD4" s="41"/>
      <c r="CE4" s="41"/>
      <c r="CF4" s="41"/>
      <c r="CG4" s="41"/>
      <c r="CH4" s="41"/>
      <c r="CI4" s="41"/>
      <c r="CJ4" s="41"/>
      <c r="CK4" s="41"/>
      <c r="CL4" s="41"/>
      <c r="CM4" s="41"/>
      <c r="CN4" s="41"/>
      <c r="CO4" s="41"/>
      <c r="CP4" s="41"/>
      <c r="CQ4" s="41"/>
      <c r="CR4" s="41"/>
      <c r="CS4" s="41"/>
      <c r="CT4" s="41"/>
      <c r="CU4" s="41"/>
      <c r="CV4" s="41"/>
      <c r="CW4" s="41"/>
      <c r="CX4" s="41"/>
      <c r="CY4" s="41"/>
      <c r="CZ4" s="41"/>
      <c r="DA4" s="41"/>
      <c r="DB4" s="41"/>
      <c r="DC4" s="41"/>
      <c r="DD4" s="41"/>
      <c r="DE4" s="41"/>
      <c r="DF4" s="41"/>
      <c r="DG4" s="41"/>
      <c r="DH4" s="41"/>
      <c r="DI4" s="41"/>
      <c r="DJ4" s="41"/>
      <c r="DK4" s="41"/>
      <c r="DL4" s="41"/>
      <c r="DM4" s="41"/>
      <c r="DN4" s="41"/>
      <c r="DO4" s="41"/>
      <c r="DP4" s="41"/>
      <c r="DQ4" s="41"/>
      <c r="DR4" s="41"/>
      <c r="DS4" s="41"/>
      <c r="DT4" s="41"/>
      <c r="DU4" s="41"/>
      <c r="DV4" s="41"/>
      <c r="DW4" s="41"/>
      <c r="DX4" s="41"/>
      <c r="DY4" s="41"/>
      <c r="DZ4" s="41"/>
      <c r="EA4" s="41"/>
      <c r="EB4" s="41"/>
    </row>
    <row r="5" spans="1:132" ht="15.75" customHeight="1" x14ac:dyDescent="0.35">
      <c r="A5" s="44" t="s">
        <v>291</v>
      </c>
      <c r="B5" s="45" t="s">
        <v>292</v>
      </c>
      <c r="C5" s="46" t="s">
        <v>293</v>
      </c>
      <c r="D5" s="47">
        <v>20</v>
      </c>
      <c r="E5" s="48">
        <f>$E$4</f>
        <v>46307</v>
      </c>
      <c r="F5" s="48">
        <f>IF(D5=0,E5,WORKDAY(E5,D5-1))</f>
        <v>46332</v>
      </c>
      <c r="G5" s="49"/>
      <c r="H5" s="49"/>
      <c r="I5" s="49"/>
      <c r="J5" s="49"/>
      <c r="K5" s="49"/>
      <c r="L5" s="50"/>
      <c r="M5" s="50"/>
      <c r="N5" s="49"/>
      <c r="O5" s="49"/>
      <c r="P5" s="49"/>
      <c r="Q5" s="49"/>
      <c r="R5" s="49"/>
      <c r="S5" s="50"/>
      <c r="T5" s="50"/>
      <c r="U5" s="49"/>
      <c r="V5" s="49"/>
      <c r="W5" s="49"/>
      <c r="X5" s="49"/>
      <c r="Y5" s="49"/>
      <c r="Z5" s="50"/>
      <c r="AA5" s="50"/>
      <c r="AB5" s="49"/>
      <c r="AC5" s="49"/>
      <c r="AD5" s="49"/>
      <c r="AE5" s="49"/>
      <c r="AF5" s="49"/>
      <c r="AG5" s="50"/>
      <c r="AH5" s="50"/>
      <c r="AI5" s="49"/>
      <c r="AJ5" s="49"/>
      <c r="AK5" s="49"/>
      <c r="AL5" s="49"/>
      <c r="AM5" s="49"/>
      <c r="AN5" s="50"/>
      <c r="AO5" s="50"/>
      <c r="AP5" s="49"/>
      <c r="AQ5" s="49"/>
      <c r="AR5" s="49"/>
      <c r="AS5" s="49"/>
      <c r="AT5" s="49"/>
      <c r="AU5" s="50"/>
      <c r="AV5" s="50"/>
      <c r="AW5" s="49"/>
      <c r="AX5" s="49"/>
      <c r="AY5" s="49"/>
      <c r="AZ5" s="49"/>
      <c r="BA5" s="49"/>
      <c r="BB5" s="50"/>
      <c r="BC5" s="50"/>
      <c r="BD5" s="49"/>
      <c r="BE5" s="49"/>
      <c r="BF5" s="49"/>
      <c r="BG5" s="49"/>
      <c r="BH5" s="49"/>
      <c r="BI5" s="50"/>
      <c r="BJ5" s="50"/>
      <c r="BK5" s="49"/>
      <c r="BL5" s="49"/>
      <c r="BM5" s="49"/>
      <c r="BN5" s="49"/>
      <c r="BO5" s="49"/>
      <c r="BP5" s="50"/>
      <c r="BQ5" s="50"/>
      <c r="BR5" s="49"/>
      <c r="BS5" s="49"/>
      <c r="BT5" s="49"/>
      <c r="BU5" s="49"/>
      <c r="BV5" s="49"/>
      <c r="BW5" s="50"/>
      <c r="BX5" s="50"/>
      <c r="BY5" s="49"/>
      <c r="BZ5" s="49"/>
      <c r="CA5" s="49"/>
      <c r="CB5" s="49"/>
      <c r="CC5" s="49"/>
      <c r="CD5" s="50"/>
      <c r="CE5" s="50"/>
      <c r="CF5" s="49"/>
      <c r="CG5" s="49"/>
      <c r="CH5" s="49"/>
      <c r="CI5" s="49"/>
      <c r="CJ5" s="49"/>
      <c r="CK5" s="50"/>
      <c r="CL5" s="50"/>
      <c r="CM5" s="49"/>
      <c r="CN5" s="49"/>
      <c r="CO5" s="49"/>
      <c r="CP5" s="49"/>
      <c r="CQ5" s="49"/>
      <c r="CR5" s="50"/>
      <c r="CS5" s="50"/>
      <c r="CT5" s="49"/>
      <c r="CU5" s="49"/>
      <c r="CV5" s="49"/>
      <c r="CW5" s="49"/>
      <c r="CX5" s="49"/>
      <c r="CY5" s="50"/>
      <c r="CZ5" s="50"/>
      <c r="DA5" s="49"/>
      <c r="DB5" s="49"/>
      <c r="DC5" s="49"/>
      <c r="DD5" s="49"/>
      <c r="DE5" s="49"/>
      <c r="DF5" s="50"/>
      <c r="DG5" s="50"/>
      <c r="DH5" s="49"/>
      <c r="DI5" s="49"/>
      <c r="DJ5" s="49"/>
      <c r="DK5" s="49"/>
      <c r="DL5" s="49"/>
      <c r="DM5" s="50"/>
      <c r="DN5" s="50"/>
    </row>
    <row r="6" spans="1:132" ht="15.75" customHeight="1" x14ac:dyDescent="0.35">
      <c r="A6" s="51" t="s">
        <v>294</v>
      </c>
      <c r="B6" s="52" t="s">
        <v>295</v>
      </c>
      <c r="C6" s="53" t="s">
        <v>293</v>
      </c>
      <c r="D6" s="54">
        <f>NETWORKDAYS(E6,F6)</f>
        <v>7</v>
      </c>
      <c r="E6" s="55">
        <f>E5</f>
        <v>46307</v>
      </c>
      <c r="F6" s="55">
        <f>F13</f>
        <v>46315</v>
      </c>
      <c r="G6" s="49"/>
      <c r="H6" s="49"/>
      <c r="I6" s="49"/>
      <c r="J6" s="49"/>
      <c r="K6" s="49"/>
      <c r="L6" s="50"/>
      <c r="M6" s="50"/>
      <c r="N6" s="49"/>
      <c r="O6" s="49"/>
      <c r="P6" s="49"/>
      <c r="Q6" s="49"/>
      <c r="R6" s="49"/>
      <c r="S6" s="50"/>
      <c r="T6" s="50"/>
      <c r="U6" s="49"/>
      <c r="V6" s="49"/>
      <c r="W6" s="49"/>
      <c r="X6" s="49"/>
      <c r="Y6" s="49"/>
      <c r="Z6" s="50"/>
      <c r="AA6" s="50"/>
      <c r="AB6" s="49"/>
      <c r="AC6" s="49"/>
      <c r="AD6" s="49"/>
      <c r="AE6" s="49"/>
      <c r="AF6" s="49"/>
      <c r="AG6" s="50"/>
      <c r="AH6" s="50"/>
      <c r="AI6" s="49"/>
      <c r="AJ6" s="49"/>
      <c r="AK6" s="49"/>
      <c r="AL6" s="49"/>
      <c r="AM6" s="49"/>
      <c r="AN6" s="50"/>
      <c r="AO6" s="50"/>
      <c r="AP6" s="49"/>
      <c r="AQ6" s="49"/>
      <c r="AR6" s="49"/>
      <c r="AS6" s="49"/>
      <c r="AT6" s="49"/>
      <c r="AU6" s="50"/>
      <c r="AV6" s="50"/>
      <c r="AW6" s="49"/>
      <c r="AX6" s="49"/>
      <c r="AY6" s="49"/>
      <c r="AZ6" s="49"/>
      <c r="BA6" s="49"/>
      <c r="BB6" s="50"/>
      <c r="BC6" s="50"/>
      <c r="BD6" s="49"/>
      <c r="BE6" s="49"/>
      <c r="BF6" s="49"/>
      <c r="BG6" s="49"/>
      <c r="BH6" s="49"/>
      <c r="BI6" s="50"/>
      <c r="BJ6" s="50"/>
      <c r="BK6" s="49"/>
      <c r="BL6" s="49"/>
      <c r="BM6" s="49"/>
      <c r="BN6" s="49"/>
      <c r="BO6" s="49"/>
      <c r="BP6" s="50"/>
      <c r="BQ6" s="50"/>
      <c r="BR6" s="49"/>
      <c r="BS6" s="49"/>
      <c r="BT6" s="49"/>
      <c r="BU6" s="49"/>
      <c r="BV6" s="49"/>
      <c r="BW6" s="50"/>
      <c r="BX6" s="50"/>
      <c r="BY6" s="49"/>
      <c r="BZ6" s="49"/>
      <c r="CA6" s="49"/>
      <c r="CB6" s="49"/>
      <c r="CC6" s="49"/>
      <c r="CD6" s="50"/>
      <c r="CE6" s="50"/>
      <c r="CF6" s="49"/>
      <c r="CG6" s="49"/>
      <c r="CH6" s="49"/>
      <c r="CI6" s="49"/>
      <c r="CJ6" s="49"/>
      <c r="CK6" s="50"/>
      <c r="CL6" s="50"/>
      <c r="CM6" s="49"/>
      <c r="CN6" s="49"/>
      <c r="CO6" s="49"/>
      <c r="CP6" s="49"/>
      <c r="CQ6" s="49"/>
      <c r="CR6" s="50"/>
      <c r="CS6" s="50"/>
      <c r="CT6" s="49"/>
      <c r="CU6" s="49"/>
      <c r="CV6" s="49"/>
      <c r="CW6" s="49"/>
      <c r="CX6" s="49"/>
      <c r="CY6" s="50"/>
      <c r="CZ6" s="50"/>
      <c r="DA6" s="49"/>
      <c r="DB6" s="49"/>
      <c r="DC6" s="49"/>
      <c r="DD6" s="49"/>
      <c r="DE6" s="49"/>
      <c r="DF6" s="50"/>
      <c r="DG6" s="50"/>
      <c r="DH6" s="49"/>
      <c r="DI6" s="49"/>
      <c r="DJ6" s="49"/>
      <c r="DK6" s="49"/>
      <c r="DL6" s="49"/>
      <c r="DM6" s="50"/>
      <c r="DN6" s="50"/>
    </row>
    <row r="7" spans="1:132" ht="15.75" customHeight="1" x14ac:dyDescent="0.35">
      <c r="A7" s="51" t="s">
        <v>296</v>
      </c>
      <c r="B7" s="52" t="s">
        <v>297</v>
      </c>
      <c r="C7" s="53" t="s">
        <v>298</v>
      </c>
      <c r="D7" s="54">
        <v>1</v>
      </c>
      <c r="E7" s="55">
        <f>E6</f>
        <v>46307</v>
      </c>
      <c r="F7" s="55">
        <f t="shared" ref="F7:F33" si="4">IF(D7=0,E7,WORKDAY(E7,D7-1))</f>
        <v>46307</v>
      </c>
      <c r="G7" s="49"/>
      <c r="H7" s="49"/>
      <c r="I7" s="49"/>
      <c r="J7" s="49"/>
      <c r="K7" s="49"/>
      <c r="L7" s="50"/>
      <c r="M7" s="50"/>
      <c r="N7" s="49"/>
      <c r="O7" s="49"/>
      <c r="P7" s="49"/>
      <c r="Q7" s="49"/>
      <c r="R7" s="49"/>
      <c r="S7" s="50"/>
      <c r="T7" s="50"/>
      <c r="U7" s="49"/>
      <c r="V7" s="49"/>
      <c r="W7" s="49"/>
      <c r="X7" s="49"/>
      <c r="Y7" s="49"/>
      <c r="Z7" s="50"/>
      <c r="AA7" s="50"/>
      <c r="AB7" s="49"/>
      <c r="AC7" s="49"/>
      <c r="AD7" s="49"/>
      <c r="AE7" s="49"/>
      <c r="AF7" s="49"/>
      <c r="AG7" s="50"/>
      <c r="AH7" s="50"/>
      <c r="AI7" s="49"/>
      <c r="AJ7" s="49"/>
      <c r="AK7" s="49"/>
      <c r="AL7" s="49"/>
      <c r="AM7" s="49"/>
      <c r="AN7" s="50"/>
      <c r="AO7" s="50"/>
      <c r="AP7" s="49"/>
      <c r="AQ7" s="49"/>
      <c r="AR7" s="49"/>
      <c r="AS7" s="49"/>
      <c r="AT7" s="49"/>
      <c r="AU7" s="50"/>
      <c r="AV7" s="50"/>
      <c r="AW7" s="49"/>
      <c r="AX7" s="49"/>
      <c r="AY7" s="49"/>
      <c r="AZ7" s="49"/>
      <c r="BA7" s="49"/>
      <c r="BB7" s="50"/>
      <c r="BC7" s="50"/>
      <c r="BD7" s="49"/>
      <c r="BE7" s="49"/>
      <c r="BF7" s="49"/>
      <c r="BG7" s="49"/>
      <c r="BH7" s="49"/>
      <c r="BI7" s="50"/>
      <c r="BJ7" s="50"/>
      <c r="BK7" s="49"/>
      <c r="BL7" s="49"/>
      <c r="BM7" s="49"/>
      <c r="BN7" s="49"/>
      <c r="BO7" s="49"/>
      <c r="BP7" s="50"/>
      <c r="BQ7" s="50"/>
      <c r="BR7" s="49"/>
      <c r="BS7" s="49"/>
      <c r="BT7" s="49"/>
      <c r="BU7" s="49"/>
      <c r="BV7" s="49"/>
      <c r="BW7" s="50"/>
      <c r="BX7" s="50"/>
      <c r="BY7" s="49"/>
      <c r="BZ7" s="49"/>
      <c r="CA7" s="49"/>
      <c r="CB7" s="49"/>
      <c r="CC7" s="49"/>
      <c r="CD7" s="50"/>
      <c r="CE7" s="50"/>
      <c r="CF7" s="49"/>
      <c r="CG7" s="49"/>
      <c r="CH7" s="49"/>
      <c r="CI7" s="49"/>
      <c r="CJ7" s="49"/>
      <c r="CK7" s="50"/>
      <c r="CL7" s="50"/>
      <c r="CM7" s="49"/>
      <c r="CN7" s="49"/>
      <c r="CO7" s="49"/>
      <c r="CP7" s="49"/>
      <c r="CQ7" s="49"/>
      <c r="CR7" s="50"/>
      <c r="CS7" s="50"/>
      <c r="CT7" s="49"/>
      <c r="CU7" s="49"/>
      <c r="CV7" s="49"/>
      <c r="CW7" s="49"/>
      <c r="CX7" s="49"/>
      <c r="CY7" s="50"/>
      <c r="CZ7" s="50"/>
      <c r="DA7" s="49"/>
      <c r="DB7" s="49"/>
      <c r="DC7" s="49"/>
      <c r="DD7" s="49"/>
      <c r="DE7" s="49"/>
      <c r="DF7" s="50"/>
      <c r="DG7" s="50"/>
      <c r="DH7" s="49"/>
      <c r="DI7" s="49"/>
      <c r="DJ7" s="49"/>
      <c r="DK7" s="49"/>
      <c r="DL7" s="49"/>
      <c r="DM7" s="50"/>
      <c r="DN7" s="50"/>
    </row>
    <row r="8" spans="1:132" ht="15.75" customHeight="1" x14ac:dyDescent="0.35">
      <c r="A8" s="51" t="s">
        <v>299</v>
      </c>
      <c r="B8" s="52" t="s">
        <v>300</v>
      </c>
      <c r="C8" s="53" t="s">
        <v>301</v>
      </c>
      <c r="D8" s="54">
        <v>1</v>
      </c>
      <c r="E8" s="55">
        <f>WORKDAY(F7,1)</f>
        <v>46308</v>
      </c>
      <c r="F8" s="55">
        <f t="shared" si="4"/>
        <v>46308</v>
      </c>
      <c r="G8" s="49"/>
      <c r="H8" s="49"/>
      <c r="I8" s="49"/>
      <c r="J8" s="49"/>
      <c r="K8" s="49"/>
      <c r="L8" s="50"/>
      <c r="M8" s="50"/>
      <c r="N8" s="49"/>
      <c r="O8" s="49"/>
      <c r="P8" s="49"/>
      <c r="Q8" s="49"/>
      <c r="R8" s="49"/>
      <c r="S8" s="50"/>
      <c r="T8" s="50"/>
      <c r="U8" s="49"/>
      <c r="V8" s="49"/>
      <c r="W8" s="49"/>
      <c r="X8" s="49"/>
      <c r="Y8" s="49"/>
      <c r="Z8" s="50"/>
      <c r="AA8" s="50"/>
      <c r="AB8" s="49"/>
      <c r="AC8" s="49"/>
      <c r="AD8" s="49"/>
      <c r="AE8" s="49"/>
      <c r="AF8" s="49"/>
      <c r="AG8" s="50"/>
      <c r="AH8" s="50"/>
      <c r="AI8" s="49"/>
      <c r="AJ8" s="49"/>
      <c r="AK8" s="49"/>
      <c r="AL8" s="49"/>
      <c r="AM8" s="49"/>
      <c r="AN8" s="50"/>
      <c r="AO8" s="50"/>
      <c r="AP8" s="49"/>
      <c r="AQ8" s="49"/>
      <c r="AR8" s="49"/>
      <c r="AS8" s="49"/>
      <c r="AT8" s="49"/>
      <c r="AU8" s="50"/>
      <c r="AV8" s="50"/>
      <c r="AW8" s="49"/>
      <c r="AX8" s="49"/>
      <c r="AY8" s="49"/>
      <c r="AZ8" s="49"/>
      <c r="BA8" s="49"/>
      <c r="BB8" s="50"/>
      <c r="BC8" s="50"/>
      <c r="BD8" s="49"/>
      <c r="BE8" s="49"/>
      <c r="BF8" s="49"/>
      <c r="BG8" s="49"/>
      <c r="BH8" s="49"/>
      <c r="BI8" s="50"/>
      <c r="BJ8" s="50"/>
      <c r="BK8" s="49"/>
      <c r="BL8" s="49"/>
      <c r="BM8" s="49"/>
      <c r="BN8" s="49"/>
      <c r="BO8" s="49"/>
      <c r="BP8" s="50"/>
      <c r="BQ8" s="50"/>
      <c r="BR8" s="49"/>
      <c r="BS8" s="49"/>
      <c r="BT8" s="49"/>
      <c r="BU8" s="49"/>
      <c r="BV8" s="49"/>
      <c r="BW8" s="50"/>
      <c r="BX8" s="50"/>
      <c r="BY8" s="49"/>
      <c r="BZ8" s="49"/>
      <c r="CA8" s="49"/>
      <c r="CB8" s="49"/>
      <c r="CC8" s="49"/>
      <c r="CD8" s="50"/>
      <c r="CE8" s="50"/>
      <c r="CF8" s="49"/>
      <c r="CG8" s="49"/>
      <c r="CH8" s="49"/>
      <c r="CI8" s="49"/>
      <c r="CJ8" s="49"/>
      <c r="CK8" s="50"/>
      <c r="CL8" s="50"/>
      <c r="CM8" s="49"/>
      <c r="CN8" s="49"/>
      <c r="CO8" s="49"/>
      <c r="CP8" s="49"/>
      <c r="CQ8" s="49"/>
      <c r="CR8" s="50"/>
      <c r="CS8" s="50"/>
      <c r="CT8" s="49"/>
      <c r="CU8" s="49"/>
      <c r="CV8" s="49"/>
      <c r="CW8" s="49"/>
      <c r="CX8" s="49"/>
      <c r="CY8" s="50"/>
      <c r="CZ8" s="50"/>
      <c r="DA8" s="49"/>
      <c r="DB8" s="49"/>
      <c r="DC8" s="49"/>
      <c r="DD8" s="49"/>
      <c r="DE8" s="49"/>
      <c r="DF8" s="50"/>
      <c r="DG8" s="50"/>
      <c r="DH8" s="49"/>
      <c r="DI8" s="49"/>
      <c r="DJ8" s="49"/>
      <c r="DK8" s="49"/>
      <c r="DL8" s="49"/>
      <c r="DM8" s="50"/>
      <c r="DN8" s="50"/>
    </row>
    <row r="9" spans="1:132" ht="15.75" customHeight="1" x14ac:dyDescent="0.35">
      <c r="A9" s="51" t="s">
        <v>302</v>
      </c>
      <c r="B9" s="52" t="s">
        <v>303</v>
      </c>
      <c r="C9" s="53" t="s">
        <v>304</v>
      </c>
      <c r="D9" s="54">
        <v>2</v>
      </c>
      <c r="E9" s="55">
        <f>WORKDAY(F7,1)</f>
        <v>46308</v>
      </c>
      <c r="F9" s="55">
        <f t="shared" si="4"/>
        <v>46309</v>
      </c>
      <c r="G9" s="49"/>
      <c r="H9" s="49"/>
      <c r="I9" s="49"/>
      <c r="J9" s="49"/>
      <c r="K9" s="49"/>
      <c r="L9" s="50"/>
      <c r="M9" s="50"/>
      <c r="N9" s="49"/>
      <c r="O9" s="49"/>
      <c r="P9" s="49"/>
      <c r="Q9" s="49"/>
      <c r="R9" s="49"/>
      <c r="S9" s="50"/>
      <c r="T9" s="50"/>
      <c r="U9" s="49"/>
      <c r="V9" s="49"/>
      <c r="W9" s="49"/>
      <c r="X9" s="49"/>
      <c r="Y9" s="49"/>
      <c r="Z9" s="50"/>
      <c r="AA9" s="50"/>
      <c r="AB9" s="49"/>
      <c r="AC9" s="49"/>
      <c r="AD9" s="49"/>
      <c r="AE9" s="49"/>
      <c r="AF9" s="49"/>
      <c r="AG9" s="50"/>
      <c r="AH9" s="50"/>
      <c r="AI9" s="49"/>
      <c r="AJ9" s="49"/>
      <c r="AK9" s="49"/>
      <c r="AL9" s="49"/>
      <c r="AM9" s="49"/>
      <c r="AN9" s="50"/>
      <c r="AO9" s="50"/>
      <c r="AP9" s="49"/>
      <c r="AQ9" s="49"/>
      <c r="AR9" s="49"/>
      <c r="AS9" s="49"/>
      <c r="AT9" s="49"/>
      <c r="AU9" s="50"/>
      <c r="AV9" s="50"/>
      <c r="AW9" s="49"/>
      <c r="AX9" s="49"/>
      <c r="AY9" s="49"/>
      <c r="AZ9" s="49"/>
      <c r="BA9" s="49"/>
      <c r="BB9" s="50"/>
      <c r="BC9" s="50"/>
      <c r="BD9" s="49"/>
      <c r="BE9" s="49"/>
      <c r="BF9" s="49"/>
      <c r="BG9" s="49"/>
      <c r="BH9" s="49"/>
      <c r="BI9" s="50"/>
      <c r="BJ9" s="50"/>
      <c r="BK9" s="49"/>
      <c r="BL9" s="49"/>
      <c r="BM9" s="49"/>
      <c r="BN9" s="49"/>
      <c r="BO9" s="49"/>
      <c r="BP9" s="50"/>
      <c r="BQ9" s="50"/>
      <c r="BR9" s="49"/>
      <c r="BS9" s="49"/>
      <c r="BT9" s="49"/>
      <c r="BU9" s="49"/>
      <c r="BV9" s="49"/>
      <c r="BW9" s="50"/>
      <c r="BX9" s="50"/>
      <c r="BY9" s="49"/>
      <c r="BZ9" s="49"/>
      <c r="CA9" s="49"/>
      <c r="CB9" s="49"/>
      <c r="CC9" s="49"/>
      <c r="CD9" s="50"/>
      <c r="CE9" s="50"/>
      <c r="CF9" s="49"/>
      <c r="CG9" s="49"/>
      <c r="CH9" s="49"/>
      <c r="CI9" s="49"/>
      <c r="CJ9" s="49"/>
      <c r="CK9" s="50"/>
      <c r="CL9" s="50"/>
      <c r="CM9" s="49"/>
      <c r="CN9" s="49"/>
      <c r="CO9" s="49"/>
      <c r="CP9" s="49"/>
      <c r="CQ9" s="49"/>
      <c r="CR9" s="50"/>
      <c r="CS9" s="50"/>
      <c r="CT9" s="49"/>
      <c r="CU9" s="49"/>
      <c r="CV9" s="49"/>
      <c r="CW9" s="49"/>
      <c r="CX9" s="49"/>
      <c r="CY9" s="50"/>
      <c r="CZ9" s="50"/>
      <c r="DA9" s="49"/>
      <c r="DB9" s="49"/>
      <c r="DC9" s="49"/>
      <c r="DD9" s="49"/>
      <c r="DE9" s="49"/>
      <c r="DF9" s="50"/>
      <c r="DG9" s="50"/>
      <c r="DH9" s="49"/>
      <c r="DI9" s="49"/>
      <c r="DJ9" s="49"/>
      <c r="DK9" s="49"/>
      <c r="DL9" s="49"/>
      <c r="DM9" s="50"/>
      <c r="DN9" s="50"/>
    </row>
    <row r="10" spans="1:132" ht="15.75" customHeight="1" x14ac:dyDescent="0.35">
      <c r="A10" s="51" t="s">
        <v>305</v>
      </c>
      <c r="B10" s="52" t="s">
        <v>306</v>
      </c>
      <c r="C10" s="53" t="s">
        <v>307</v>
      </c>
      <c r="D10" s="54">
        <v>1</v>
      </c>
      <c r="E10" s="55">
        <f>WORKDAY(F7,1)</f>
        <v>46308</v>
      </c>
      <c r="F10" s="55">
        <f t="shared" si="4"/>
        <v>46308</v>
      </c>
      <c r="G10" s="49"/>
      <c r="H10" s="49"/>
      <c r="I10" s="49"/>
      <c r="J10" s="49"/>
      <c r="K10" s="49"/>
      <c r="L10" s="50"/>
      <c r="M10" s="50"/>
      <c r="N10" s="49"/>
      <c r="O10" s="49"/>
      <c r="P10" s="49"/>
      <c r="Q10" s="49"/>
      <c r="R10" s="49"/>
      <c r="S10" s="50"/>
      <c r="T10" s="50"/>
      <c r="U10" s="49"/>
      <c r="V10" s="49"/>
      <c r="W10" s="49"/>
      <c r="X10" s="49"/>
      <c r="Y10" s="49"/>
      <c r="Z10" s="50"/>
      <c r="AA10" s="50"/>
      <c r="AB10" s="49"/>
      <c r="AC10" s="49"/>
      <c r="AD10" s="49"/>
      <c r="AE10" s="49"/>
      <c r="AF10" s="49"/>
      <c r="AG10" s="50"/>
      <c r="AH10" s="50"/>
      <c r="AI10" s="49"/>
      <c r="AJ10" s="49"/>
      <c r="AK10" s="49"/>
      <c r="AL10" s="49"/>
      <c r="AM10" s="49"/>
      <c r="AN10" s="50"/>
      <c r="AO10" s="50"/>
      <c r="AP10" s="49"/>
      <c r="AQ10" s="49"/>
      <c r="AR10" s="49"/>
      <c r="AS10" s="49"/>
      <c r="AT10" s="49"/>
      <c r="AU10" s="50"/>
      <c r="AV10" s="50"/>
      <c r="AW10" s="49"/>
      <c r="AX10" s="49"/>
      <c r="AY10" s="49"/>
      <c r="AZ10" s="49"/>
      <c r="BA10" s="49"/>
      <c r="BB10" s="50"/>
      <c r="BC10" s="50"/>
      <c r="BD10" s="49"/>
      <c r="BE10" s="49"/>
      <c r="BF10" s="49"/>
      <c r="BG10" s="49"/>
      <c r="BH10" s="49"/>
      <c r="BI10" s="50"/>
      <c r="BJ10" s="50"/>
      <c r="BK10" s="49"/>
      <c r="BL10" s="49"/>
      <c r="BM10" s="49"/>
      <c r="BN10" s="49"/>
      <c r="BO10" s="49"/>
      <c r="BP10" s="50"/>
      <c r="BQ10" s="50"/>
      <c r="BR10" s="49"/>
      <c r="BS10" s="49"/>
      <c r="BT10" s="49"/>
      <c r="BU10" s="49"/>
      <c r="BV10" s="49"/>
      <c r="BW10" s="50"/>
      <c r="BX10" s="50"/>
      <c r="BY10" s="49"/>
      <c r="BZ10" s="49"/>
      <c r="CA10" s="49"/>
      <c r="CB10" s="49"/>
      <c r="CC10" s="49"/>
      <c r="CD10" s="50"/>
      <c r="CE10" s="50"/>
      <c r="CF10" s="49"/>
      <c r="CG10" s="49"/>
      <c r="CH10" s="49"/>
      <c r="CI10" s="49"/>
      <c r="CJ10" s="49"/>
      <c r="CK10" s="50"/>
      <c r="CL10" s="50"/>
      <c r="CM10" s="49"/>
      <c r="CN10" s="49"/>
      <c r="CO10" s="49"/>
      <c r="CP10" s="49"/>
      <c r="CQ10" s="49"/>
      <c r="CR10" s="50"/>
      <c r="CS10" s="50"/>
      <c r="CT10" s="49"/>
      <c r="CU10" s="49"/>
      <c r="CV10" s="49"/>
      <c r="CW10" s="49"/>
      <c r="CX10" s="49"/>
      <c r="CY10" s="50"/>
      <c r="CZ10" s="50"/>
      <c r="DA10" s="49"/>
      <c r="DB10" s="49"/>
      <c r="DC10" s="49"/>
      <c r="DD10" s="49"/>
      <c r="DE10" s="49"/>
      <c r="DF10" s="50"/>
      <c r="DG10" s="50"/>
      <c r="DH10" s="49"/>
      <c r="DI10" s="49"/>
      <c r="DJ10" s="49"/>
      <c r="DK10" s="49"/>
      <c r="DL10" s="49"/>
      <c r="DM10" s="50"/>
      <c r="DN10" s="50"/>
    </row>
    <row r="11" spans="1:132" ht="15.75" customHeight="1" x14ac:dyDescent="0.35">
      <c r="A11" s="51" t="s">
        <v>308</v>
      </c>
      <c r="B11" s="52" t="s">
        <v>309</v>
      </c>
      <c r="C11" s="53" t="s">
        <v>310</v>
      </c>
      <c r="D11" s="54">
        <v>2</v>
      </c>
      <c r="E11" s="55">
        <f>WORKDAY(MAX(F8,F9),1)</f>
        <v>46310</v>
      </c>
      <c r="F11" s="55">
        <f t="shared" si="4"/>
        <v>46311</v>
      </c>
      <c r="G11" s="49"/>
      <c r="H11" s="49"/>
      <c r="I11" s="49"/>
      <c r="J11" s="49"/>
      <c r="K11" s="49"/>
      <c r="L11" s="50"/>
      <c r="M11" s="50"/>
      <c r="N11" s="49"/>
      <c r="O11" s="49"/>
      <c r="P11" s="49"/>
      <c r="Q11" s="49"/>
      <c r="R11" s="49"/>
      <c r="S11" s="50"/>
      <c r="T11" s="50"/>
      <c r="U11" s="49"/>
      <c r="V11" s="49"/>
      <c r="W11" s="49"/>
      <c r="X11" s="49"/>
      <c r="Y11" s="49"/>
      <c r="Z11" s="50"/>
      <c r="AA11" s="50"/>
      <c r="AB11" s="49"/>
      <c r="AC11" s="49"/>
      <c r="AD11" s="49"/>
      <c r="AE11" s="49"/>
      <c r="AF11" s="49"/>
      <c r="AG11" s="50"/>
      <c r="AH11" s="50"/>
      <c r="AI11" s="49"/>
      <c r="AJ11" s="49"/>
      <c r="AK11" s="49"/>
      <c r="AL11" s="49"/>
      <c r="AM11" s="49"/>
      <c r="AN11" s="50"/>
      <c r="AO11" s="50"/>
      <c r="AP11" s="49"/>
      <c r="AQ11" s="49"/>
      <c r="AR11" s="49"/>
      <c r="AS11" s="49"/>
      <c r="AT11" s="49"/>
      <c r="AU11" s="50"/>
      <c r="AV11" s="50"/>
      <c r="AW11" s="49"/>
      <c r="AX11" s="49"/>
      <c r="AY11" s="49"/>
      <c r="AZ11" s="49"/>
      <c r="BA11" s="49"/>
      <c r="BB11" s="50"/>
      <c r="BC11" s="50"/>
      <c r="BD11" s="49"/>
      <c r="BE11" s="49"/>
      <c r="BF11" s="49"/>
      <c r="BG11" s="49"/>
      <c r="BH11" s="49"/>
      <c r="BI11" s="50"/>
      <c r="BJ11" s="50"/>
      <c r="BK11" s="49"/>
      <c r="BL11" s="49"/>
      <c r="BM11" s="49"/>
      <c r="BN11" s="49"/>
      <c r="BO11" s="49"/>
      <c r="BP11" s="50"/>
      <c r="BQ11" s="50"/>
      <c r="BR11" s="49"/>
      <c r="BS11" s="49"/>
      <c r="BT11" s="49"/>
      <c r="BU11" s="49"/>
      <c r="BV11" s="49"/>
      <c r="BW11" s="50"/>
      <c r="BX11" s="50"/>
      <c r="BY11" s="49"/>
      <c r="BZ11" s="49"/>
      <c r="CA11" s="49"/>
      <c r="CB11" s="49"/>
      <c r="CC11" s="49"/>
      <c r="CD11" s="50"/>
      <c r="CE11" s="50"/>
      <c r="CF11" s="49"/>
      <c r="CG11" s="49"/>
      <c r="CH11" s="49"/>
      <c r="CI11" s="49"/>
      <c r="CJ11" s="49"/>
      <c r="CK11" s="50"/>
      <c r="CL11" s="50"/>
      <c r="CM11" s="49"/>
      <c r="CN11" s="49"/>
      <c r="CO11" s="49"/>
      <c r="CP11" s="49"/>
      <c r="CQ11" s="49"/>
      <c r="CR11" s="50"/>
      <c r="CS11" s="50"/>
      <c r="CT11" s="49"/>
      <c r="CU11" s="49"/>
      <c r="CV11" s="49"/>
      <c r="CW11" s="49"/>
      <c r="CX11" s="49"/>
      <c r="CY11" s="50"/>
      <c r="CZ11" s="50"/>
      <c r="DA11" s="49"/>
      <c r="DB11" s="49"/>
      <c r="DC11" s="49"/>
      <c r="DD11" s="49"/>
      <c r="DE11" s="49"/>
      <c r="DF11" s="50"/>
      <c r="DG11" s="50"/>
      <c r="DH11" s="49"/>
      <c r="DI11" s="49"/>
      <c r="DJ11" s="49"/>
      <c r="DK11" s="49"/>
      <c r="DL11" s="49"/>
      <c r="DM11" s="50"/>
      <c r="DN11" s="50"/>
    </row>
    <row r="12" spans="1:132" ht="15.75" customHeight="1" x14ac:dyDescent="0.35">
      <c r="A12" s="51" t="s">
        <v>311</v>
      </c>
      <c r="B12" s="52" t="s">
        <v>312</v>
      </c>
      <c r="C12" s="53" t="s">
        <v>313</v>
      </c>
      <c r="D12" s="54">
        <v>1</v>
      </c>
      <c r="E12" s="55">
        <f>WORKDAY(F11,1)</f>
        <v>46314</v>
      </c>
      <c r="F12" s="55">
        <f t="shared" si="4"/>
        <v>46314</v>
      </c>
      <c r="G12" s="49"/>
      <c r="H12" s="49"/>
      <c r="I12" s="49"/>
      <c r="J12" s="49"/>
      <c r="K12" s="49"/>
      <c r="L12" s="50"/>
      <c r="M12" s="50"/>
      <c r="N12" s="49"/>
      <c r="O12" s="49"/>
      <c r="P12" s="49"/>
      <c r="Q12" s="49"/>
      <c r="R12" s="49"/>
      <c r="S12" s="50"/>
      <c r="T12" s="50"/>
      <c r="U12" s="49"/>
      <c r="V12" s="49"/>
      <c r="W12" s="49"/>
      <c r="X12" s="49"/>
      <c r="Y12" s="49"/>
      <c r="Z12" s="50"/>
      <c r="AA12" s="50"/>
      <c r="AB12" s="49"/>
      <c r="AC12" s="49"/>
      <c r="AD12" s="49"/>
      <c r="AE12" s="49"/>
      <c r="AF12" s="49"/>
      <c r="AG12" s="50"/>
      <c r="AH12" s="50"/>
      <c r="AI12" s="49"/>
      <c r="AJ12" s="49"/>
      <c r="AK12" s="49"/>
      <c r="AL12" s="49"/>
      <c r="AM12" s="49"/>
      <c r="AN12" s="50"/>
      <c r="AO12" s="50"/>
      <c r="AP12" s="49"/>
      <c r="AQ12" s="49"/>
      <c r="AR12" s="49"/>
      <c r="AS12" s="49"/>
      <c r="AT12" s="49"/>
      <c r="AU12" s="50"/>
      <c r="AV12" s="50"/>
      <c r="AW12" s="49"/>
      <c r="AX12" s="49"/>
      <c r="AY12" s="49"/>
      <c r="AZ12" s="49"/>
      <c r="BA12" s="49"/>
      <c r="BB12" s="50"/>
      <c r="BC12" s="50"/>
      <c r="BD12" s="49"/>
      <c r="BE12" s="49"/>
      <c r="BF12" s="49"/>
      <c r="BG12" s="49"/>
      <c r="BH12" s="49"/>
      <c r="BI12" s="50"/>
      <c r="BJ12" s="50"/>
      <c r="BK12" s="49"/>
      <c r="BL12" s="49"/>
      <c r="BM12" s="49"/>
      <c r="BN12" s="49"/>
      <c r="BO12" s="49"/>
      <c r="BP12" s="50"/>
      <c r="BQ12" s="50"/>
      <c r="BR12" s="49"/>
      <c r="BS12" s="49"/>
      <c r="BT12" s="49"/>
      <c r="BU12" s="49"/>
      <c r="BV12" s="49"/>
      <c r="BW12" s="50"/>
      <c r="BX12" s="50"/>
      <c r="BY12" s="49"/>
      <c r="BZ12" s="49"/>
      <c r="CA12" s="49"/>
      <c r="CB12" s="49"/>
      <c r="CC12" s="49"/>
      <c r="CD12" s="50"/>
      <c r="CE12" s="50"/>
      <c r="CF12" s="49"/>
      <c r="CG12" s="49"/>
      <c r="CH12" s="49"/>
      <c r="CI12" s="49"/>
      <c r="CJ12" s="49"/>
      <c r="CK12" s="50"/>
      <c r="CL12" s="50"/>
      <c r="CM12" s="49"/>
      <c r="CN12" s="49"/>
      <c r="CO12" s="49"/>
      <c r="CP12" s="49"/>
      <c r="CQ12" s="49"/>
      <c r="CR12" s="50"/>
      <c r="CS12" s="50"/>
      <c r="CT12" s="49"/>
      <c r="CU12" s="49"/>
      <c r="CV12" s="49"/>
      <c r="CW12" s="49"/>
      <c r="CX12" s="49"/>
      <c r="CY12" s="50"/>
      <c r="CZ12" s="50"/>
      <c r="DA12" s="49"/>
      <c r="DB12" s="49"/>
      <c r="DC12" s="49"/>
      <c r="DD12" s="49"/>
      <c r="DE12" s="49"/>
      <c r="DF12" s="50"/>
      <c r="DG12" s="50"/>
      <c r="DH12" s="49"/>
      <c r="DI12" s="49"/>
      <c r="DJ12" s="49"/>
      <c r="DK12" s="49"/>
      <c r="DL12" s="49"/>
      <c r="DM12" s="50"/>
      <c r="DN12" s="50"/>
    </row>
    <row r="13" spans="1:132" ht="15.75" customHeight="1" x14ac:dyDescent="0.35">
      <c r="A13" s="51" t="s">
        <v>314</v>
      </c>
      <c r="B13" s="52" t="s">
        <v>315</v>
      </c>
      <c r="C13" s="53" t="s">
        <v>316</v>
      </c>
      <c r="D13" s="54">
        <v>1</v>
      </c>
      <c r="E13" s="55">
        <f>WORKDAY(F12,1)</f>
        <v>46315</v>
      </c>
      <c r="F13" s="55">
        <f t="shared" si="4"/>
        <v>46315</v>
      </c>
      <c r="G13" s="49"/>
      <c r="H13" s="49"/>
      <c r="I13" s="49"/>
      <c r="J13" s="49"/>
      <c r="K13" s="49"/>
      <c r="L13" s="50"/>
      <c r="M13" s="50"/>
      <c r="N13" s="49"/>
      <c r="O13" s="49"/>
      <c r="P13" s="49"/>
      <c r="Q13" s="49"/>
      <c r="R13" s="49"/>
      <c r="S13" s="50"/>
      <c r="T13" s="50"/>
      <c r="U13" s="49"/>
      <c r="V13" s="49"/>
      <c r="W13" s="49"/>
      <c r="X13" s="49"/>
      <c r="Y13" s="49"/>
      <c r="Z13" s="50"/>
      <c r="AA13" s="50"/>
      <c r="AB13" s="49"/>
      <c r="AC13" s="49"/>
      <c r="AD13" s="49"/>
      <c r="AE13" s="49"/>
      <c r="AF13" s="49"/>
      <c r="AG13" s="50"/>
      <c r="AH13" s="50"/>
      <c r="AI13" s="49"/>
      <c r="AJ13" s="49"/>
      <c r="AK13" s="49"/>
      <c r="AL13" s="49"/>
      <c r="AM13" s="49"/>
      <c r="AN13" s="50"/>
      <c r="AO13" s="50"/>
      <c r="AP13" s="49"/>
      <c r="AQ13" s="49"/>
      <c r="AR13" s="49"/>
      <c r="AS13" s="49"/>
      <c r="AT13" s="49"/>
      <c r="AU13" s="50"/>
      <c r="AV13" s="50"/>
      <c r="AW13" s="49"/>
      <c r="AX13" s="49"/>
      <c r="AY13" s="49"/>
      <c r="AZ13" s="49"/>
      <c r="BA13" s="49"/>
      <c r="BB13" s="50"/>
      <c r="BC13" s="50"/>
      <c r="BD13" s="49"/>
      <c r="BE13" s="49"/>
      <c r="BF13" s="49"/>
      <c r="BG13" s="49"/>
      <c r="BH13" s="49"/>
      <c r="BI13" s="50"/>
      <c r="BJ13" s="50"/>
      <c r="BK13" s="49"/>
      <c r="BL13" s="49"/>
      <c r="BM13" s="49"/>
      <c r="BN13" s="49"/>
      <c r="BO13" s="49"/>
      <c r="BP13" s="50"/>
      <c r="BQ13" s="50"/>
      <c r="BR13" s="49"/>
      <c r="BS13" s="49"/>
      <c r="BT13" s="49"/>
      <c r="BU13" s="49"/>
      <c r="BV13" s="49"/>
      <c r="BW13" s="50"/>
      <c r="BX13" s="50"/>
      <c r="BY13" s="49"/>
      <c r="BZ13" s="49"/>
      <c r="CA13" s="49"/>
      <c r="CB13" s="49"/>
      <c r="CC13" s="49"/>
      <c r="CD13" s="50"/>
      <c r="CE13" s="50"/>
      <c r="CF13" s="49"/>
      <c r="CG13" s="49"/>
      <c r="CH13" s="49"/>
      <c r="CI13" s="49"/>
      <c r="CJ13" s="49"/>
      <c r="CK13" s="50"/>
      <c r="CL13" s="50"/>
      <c r="CM13" s="49"/>
      <c r="CN13" s="49"/>
      <c r="CO13" s="49"/>
      <c r="CP13" s="49"/>
      <c r="CQ13" s="49"/>
      <c r="CR13" s="50"/>
      <c r="CS13" s="50"/>
      <c r="CT13" s="49"/>
      <c r="CU13" s="49"/>
      <c r="CV13" s="49"/>
      <c r="CW13" s="49"/>
      <c r="CX13" s="49"/>
      <c r="CY13" s="50"/>
      <c r="CZ13" s="50"/>
      <c r="DA13" s="49"/>
      <c r="DB13" s="49"/>
      <c r="DC13" s="49"/>
      <c r="DD13" s="49"/>
      <c r="DE13" s="49"/>
      <c r="DF13" s="50"/>
      <c r="DG13" s="50"/>
      <c r="DH13" s="49"/>
      <c r="DI13" s="49"/>
      <c r="DJ13" s="49"/>
      <c r="DK13" s="49"/>
      <c r="DL13" s="49"/>
      <c r="DM13" s="50"/>
      <c r="DN13" s="50"/>
    </row>
    <row r="14" spans="1:132" ht="15.75" customHeight="1" x14ac:dyDescent="0.35">
      <c r="A14" s="51" t="s">
        <v>317</v>
      </c>
      <c r="B14" s="52" t="s">
        <v>318</v>
      </c>
      <c r="C14" s="53" t="s">
        <v>293</v>
      </c>
      <c r="D14" s="54">
        <v>3</v>
      </c>
      <c r="E14" s="55">
        <f>WORKDAY(F11,1)</f>
        <v>46314</v>
      </c>
      <c r="F14" s="55">
        <f t="shared" si="4"/>
        <v>46316</v>
      </c>
      <c r="G14" s="49"/>
      <c r="H14" s="49"/>
      <c r="I14" s="49"/>
      <c r="J14" s="49"/>
      <c r="K14" s="49"/>
      <c r="L14" s="50"/>
      <c r="M14" s="50"/>
      <c r="N14" s="49"/>
      <c r="O14" s="49"/>
      <c r="P14" s="49"/>
      <c r="Q14" s="49"/>
      <c r="R14" s="49"/>
      <c r="S14" s="50"/>
      <c r="T14" s="50"/>
      <c r="U14" s="49"/>
      <c r="V14" s="49"/>
      <c r="W14" s="49"/>
      <c r="X14" s="49"/>
      <c r="Y14" s="49"/>
      <c r="Z14" s="50"/>
      <c r="AA14" s="50"/>
      <c r="AB14" s="49"/>
      <c r="AC14" s="49"/>
      <c r="AD14" s="49"/>
      <c r="AE14" s="49"/>
      <c r="AF14" s="49"/>
      <c r="AG14" s="50"/>
      <c r="AH14" s="50"/>
      <c r="AI14" s="49"/>
      <c r="AJ14" s="49"/>
      <c r="AK14" s="49"/>
      <c r="AL14" s="49"/>
      <c r="AM14" s="49"/>
      <c r="AN14" s="50"/>
      <c r="AO14" s="50"/>
      <c r="AP14" s="49"/>
      <c r="AQ14" s="49"/>
      <c r="AR14" s="49"/>
      <c r="AS14" s="49"/>
      <c r="AT14" s="49"/>
      <c r="AU14" s="50"/>
      <c r="AV14" s="50"/>
      <c r="AW14" s="49"/>
      <c r="AX14" s="49"/>
      <c r="AY14" s="49"/>
      <c r="AZ14" s="49"/>
      <c r="BA14" s="49"/>
      <c r="BB14" s="50"/>
      <c r="BC14" s="50"/>
      <c r="BD14" s="49"/>
      <c r="BE14" s="49"/>
      <c r="BF14" s="49"/>
      <c r="BG14" s="49"/>
      <c r="BH14" s="49"/>
      <c r="BI14" s="50"/>
      <c r="BJ14" s="50"/>
      <c r="BK14" s="49"/>
      <c r="BL14" s="49"/>
      <c r="BM14" s="49"/>
      <c r="BN14" s="49"/>
      <c r="BO14" s="49"/>
      <c r="BP14" s="50"/>
      <c r="BQ14" s="50"/>
      <c r="BR14" s="49"/>
      <c r="BS14" s="49"/>
      <c r="BT14" s="49"/>
      <c r="BU14" s="49"/>
      <c r="BV14" s="49"/>
      <c r="BW14" s="50"/>
      <c r="BX14" s="50"/>
      <c r="BY14" s="49"/>
      <c r="BZ14" s="49"/>
      <c r="CA14" s="49"/>
      <c r="CB14" s="49"/>
      <c r="CC14" s="49"/>
      <c r="CD14" s="50"/>
      <c r="CE14" s="50"/>
      <c r="CF14" s="49"/>
      <c r="CG14" s="49"/>
      <c r="CH14" s="49"/>
      <c r="CI14" s="49"/>
      <c r="CJ14" s="49"/>
      <c r="CK14" s="50"/>
      <c r="CL14" s="50"/>
      <c r="CM14" s="49"/>
      <c r="CN14" s="49"/>
      <c r="CO14" s="49"/>
      <c r="CP14" s="49"/>
      <c r="CQ14" s="49"/>
      <c r="CR14" s="50"/>
      <c r="CS14" s="50"/>
      <c r="CT14" s="49"/>
      <c r="CU14" s="49"/>
      <c r="CV14" s="49"/>
      <c r="CW14" s="49"/>
      <c r="CX14" s="49"/>
      <c r="CY14" s="50"/>
      <c r="CZ14" s="50"/>
      <c r="DA14" s="49"/>
      <c r="DB14" s="49"/>
      <c r="DC14" s="49"/>
      <c r="DD14" s="49"/>
      <c r="DE14" s="49"/>
      <c r="DF14" s="50"/>
      <c r="DG14" s="50"/>
      <c r="DH14" s="49"/>
      <c r="DI14" s="49"/>
      <c r="DJ14" s="49"/>
      <c r="DK14" s="49"/>
      <c r="DL14" s="49"/>
      <c r="DM14" s="50"/>
      <c r="DN14" s="50"/>
    </row>
    <row r="15" spans="1:132" ht="15.75" customHeight="1" x14ac:dyDescent="0.35">
      <c r="A15" s="51" t="s">
        <v>319</v>
      </c>
      <c r="B15" s="52" t="s">
        <v>320</v>
      </c>
      <c r="C15" s="53" t="s">
        <v>293</v>
      </c>
      <c r="D15" s="54">
        <v>3</v>
      </c>
      <c r="E15" s="55">
        <f>WORKDAY(F6,1)</f>
        <v>46316</v>
      </c>
      <c r="F15" s="55">
        <f t="shared" si="4"/>
        <v>46318</v>
      </c>
      <c r="G15" s="49"/>
      <c r="H15" s="49"/>
      <c r="I15" s="49"/>
      <c r="J15" s="49"/>
      <c r="K15" s="49"/>
      <c r="L15" s="50"/>
      <c r="M15" s="50"/>
      <c r="N15" s="49"/>
      <c r="O15" s="49"/>
      <c r="P15" s="49"/>
      <c r="Q15" s="49"/>
      <c r="R15" s="49"/>
      <c r="S15" s="50"/>
      <c r="T15" s="50"/>
      <c r="U15" s="49"/>
      <c r="V15" s="49"/>
      <c r="W15" s="49"/>
      <c r="X15" s="49"/>
      <c r="Y15" s="49"/>
      <c r="Z15" s="50"/>
      <c r="AA15" s="50"/>
      <c r="AB15" s="49"/>
      <c r="AC15" s="49"/>
      <c r="AD15" s="49"/>
      <c r="AE15" s="49"/>
      <c r="AF15" s="49"/>
      <c r="AG15" s="50"/>
      <c r="AH15" s="50"/>
      <c r="AI15" s="49"/>
      <c r="AJ15" s="49"/>
      <c r="AK15" s="49"/>
      <c r="AL15" s="49"/>
      <c r="AM15" s="49"/>
      <c r="AN15" s="50"/>
      <c r="AO15" s="50"/>
      <c r="AP15" s="49"/>
      <c r="AQ15" s="49"/>
      <c r="AR15" s="49"/>
      <c r="AS15" s="49"/>
      <c r="AT15" s="49"/>
      <c r="AU15" s="50"/>
      <c r="AV15" s="50"/>
      <c r="AW15" s="49"/>
      <c r="AX15" s="49"/>
      <c r="AY15" s="49"/>
      <c r="AZ15" s="49"/>
      <c r="BA15" s="49"/>
      <c r="BB15" s="50"/>
      <c r="BC15" s="50"/>
      <c r="BD15" s="49"/>
      <c r="BE15" s="49"/>
      <c r="BF15" s="49"/>
      <c r="BG15" s="49"/>
      <c r="BH15" s="49"/>
      <c r="BI15" s="50"/>
      <c r="BJ15" s="50"/>
      <c r="BK15" s="49"/>
      <c r="BL15" s="49"/>
      <c r="BM15" s="49"/>
      <c r="BN15" s="49"/>
      <c r="BO15" s="49"/>
      <c r="BP15" s="50"/>
      <c r="BQ15" s="50"/>
      <c r="BR15" s="49"/>
      <c r="BS15" s="49"/>
      <c r="BT15" s="49"/>
      <c r="BU15" s="49"/>
      <c r="BV15" s="49"/>
      <c r="BW15" s="50"/>
      <c r="BX15" s="50"/>
      <c r="BY15" s="49"/>
      <c r="BZ15" s="49"/>
      <c r="CA15" s="49"/>
      <c r="CB15" s="49"/>
      <c r="CC15" s="49"/>
      <c r="CD15" s="50"/>
      <c r="CE15" s="50"/>
      <c r="CF15" s="49"/>
      <c r="CG15" s="49"/>
      <c r="CH15" s="49"/>
      <c r="CI15" s="49"/>
      <c r="CJ15" s="49"/>
      <c r="CK15" s="50"/>
      <c r="CL15" s="50"/>
      <c r="CM15" s="49"/>
      <c r="CN15" s="49"/>
      <c r="CO15" s="49"/>
      <c r="CP15" s="49"/>
      <c r="CQ15" s="49"/>
      <c r="CR15" s="50"/>
      <c r="CS15" s="50"/>
      <c r="CT15" s="49"/>
      <c r="CU15" s="49"/>
      <c r="CV15" s="49"/>
      <c r="CW15" s="49"/>
      <c r="CX15" s="49"/>
      <c r="CY15" s="50"/>
      <c r="CZ15" s="50"/>
      <c r="DA15" s="49"/>
      <c r="DB15" s="49"/>
      <c r="DC15" s="49"/>
      <c r="DD15" s="49"/>
      <c r="DE15" s="49"/>
      <c r="DF15" s="50"/>
      <c r="DG15" s="50"/>
      <c r="DH15" s="49"/>
      <c r="DI15" s="49"/>
      <c r="DJ15" s="49"/>
      <c r="DK15" s="49"/>
      <c r="DL15" s="49"/>
      <c r="DM15" s="50"/>
      <c r="DN15" s="50"/>
    </row>
    <row r="16" spans="1:132" ht="15.75" customHeight="1" x14ac:dyDescent="0.35">
      <c r="A16" s="51" t="s">
        <v>321</v>
      </c>
      <c r="B16" s="52" t="s">
        <v>322</v>
      </c>
      <c r="C16" s="53" t="s">
        <v>293</v>
      </c>
      <c r="D16" s="54">
        <v>3</v>
      </c>
      <c r="E16" s="55">
        <f>WORKDAY(E15,1)</f>
        <v>46317</v>
      </c>
      <c r="F16" s="55">
        <f t="shared" si="4"/>
        <v>46321</v>
      </c>
      <c r="G16" s="49"/>
      <c r="H16" s="49"/>
      <c r="I16" s="49"/>
      <c r="J16" s="49"/>
      <c r="K16" s="49"/>
      <c r="L16" s="50"/>
      <c r="M16" s="50"/>
      <c r="N16" s="49"/>
      <c r="O16" s="49"/>
      <c r="P16" s="49"/>
      <c r="Q16" s="49"/>
      <c r="R16" s="49"/>
      <c r="S16" s="50"/>
      <c r="T16" s="50"/>
      <c r="U16" s="49"/>
      <c r="V16" s="49"/>
      <c r="W16" s="49"/>
      <c r="X16" s="49"/>
      <c r="Y16" s="49"/>
      <c r="Z16" s="50"/>
      <c r="AA16" s="50"/>
      <c r="AB16" s="49"/>
      <c r="AC16" s="49"/>
      <c r="AD16" s="49"/>
      <c r="AE16" s="49"/>
      <c r="AF16" s="49"/>
      <c r="AG16" s="50"/>
      <c r="AH16" s="50"/>
      <c r="AI16" s="49"/>
      <c r="AJ16" s="49"/>
      <c r="AK16" s="49"/>
      <c r="AL16" s="49"/>
      <c r="AM16" s="49"/>
      <c r="AN16" s="50"/>
      <c r="AO16" s="50"/>
      <c r="AP16" s="49"/>
      <c r="AQ16" s="49"/>
      <c r="AR16" s="49"/>
      <c r="AS16" s="49"/>
      <c r="AT16" s="49"/>
      <c r="AU16" s="50"/>
      <c r="AV16" s="50"/>
      <c r="AW16" s="49"/>
      <c r="AX16" s="49"/>
      <c r="AY16" s="49"/>
      <c r="AZ16" s="49"/>
      <c r="BA16" s="49"/>
      <c r="BB16" s="50"/>
      <c r="BC16" s="50"/>
      <c r="BD16" s="49"/>
      <c r="BE16" s="49"/>
      <c r="BF16" s="49"/>
      <c r="BG16" s="49"/>
      <c r="BH16" s="49"/>
      <c r="BI16" s="50"/>
      <c r="BJ16" s="50"/>
      <c r="BK16" s="49"/>
      <c r="BL16" s="49"/>
      <c r="BM16" s="49"/>
      <c r="BN16" s="49"/>
      <c r="BO16" s="49"/>
      <c r="BP16" s="50"/>
      <c r="BQ16" s="50"/>
      <c r="BR16" s="49"/>
      <c r="BS16" s="49"/>
      <c r="BT16" s="49"/>
      <c r="BU16" s="49"/>
      <c r="BV16" s="49"/>
      <c r="BW16" s="50"/>
      <c r="BX16" s="50"/>
      <c r="BY16" s="49"/>
      <c r="BZ16" s="49"/>
      <c r="CA16" s="49"/>
      <c r="CB16" s="49"/>
      <c r="CC16" s="49"/>
      <c r="CD16" s="50"/>
      <c r="CE16" s="50"/>
      <c r="CF16" s="49"/>
      <c r="CG16" s="49"/>
      <c r="CH16" s="49"/>
      <c r="CI16" s="49"/>
      <c r="CJ16" s="49"/>
      <c r="CK16" s="50"/>
      <c r="CL16" s="50"/>
      <c r="CM16" s="49"/>
      <c r="CN16" s="49"/>
      <c r="CO16" s="49"/>
      <c r="CP16" s="49"/>
      <c r="CQ16" s="49"/>
      <c r="CR16" s="50"/>
      <c r="CS16" s="50"/>
      <c r="CT16" s="49"/>
      <c r="CU16" s="49"/>
      <c r="CV16" s="49"/>
      <c r="CW16" s="49"/>
      <c r="CX16" s="49"/>
      <c r="CY16" s="50"/>
      <c r="CZ16" s="50"/>
      <c r="DA16" s="49"/>
      <c r="DB16" s="49"/>
      <c r="DC16" s="49"/>
      <c r="DD16" s="49"/>
      <c r="DE16" s="49"/>
      <c r="DF16" s="50"/>
      <c r="DG16" s="50"/>
      <c r="DH16" s="49"/>
      <c r="DI16" s="49"/>
      <c r="DJ16" s="49"/>
      <c r="DK16" s="49"/>
      <c r="DL16" s="49"/>
      <c r="DM16" s="50"/>
      <c r="DN16" s="50"/>
    </row>
    <row r="17" spans="1:118" ht="15.75" customHeight="1" x14ac:dyDescent="0.35">
      <c r="A17" s="51" t="s">
        <v>323</v>
      </c>
      <c r="B17" s="52" t="s">
        <v>324</v>
      </c>
      <c r="C17" s="53" t="s">
        <v>293</v>
      </c>
      <c r="D17" s="54">
        <v>3</v>
      </c>
      <c r="E17" s="55">
        <f>WORKDAY(F15,1)</f>
        <v>46321</v>
      </c>
      <c r="F17" s="55">
        <f t="shared" si="4"/>
        <v>46323</v>
      </c>
      <c r="G17" s="49"/>
      <c r="H17" s="49"/>
      <c r="I17" s="49"/>
      <c r="J17" s="49"/>
      <c r="K17" s="49"/>
      <c r="L17" s="50"/>
      <c r="M17" s="50"/>
      <c r="N17" s="49"/>
      <c r="O17" s="49"/>
      <c r="P17" s="49"/>
      <c r="Q17" s="49"/>
      <c r="R17" s="49"/>
      <c r="S17" s="50"/>
      <c r="T17" s="50"/>
      <c r="U17" s="49"/>
      <c r="V17" s="49"/>
      <c r="W17" s="49"/>
      <c r="X17" s="49"/>
      <c r="Y17" s="49"/>
      <c r="Z17" s="50"/>
      <c r="AA17" s="50"/>
      <c r="AB17" s="49"/>
      <c r="AC17" s="49"/>
      <c r="AD17" s="49"/>
      <c r="AE17" s="49"/>
      <c r="AF17" s="49"/>
      <c r="AG17" s="50"/>
      <c r="AH17" s="50"/>
      <c r="AI17" s="49"/>
      <c r="AJ17" s="49"/>
      <c r="AK17" s="49"/>
      <c r="AL17" s="49"/>
      <c r="AM17" s="49"/>
      <c r="AN17" s="50"/>
      <c r="AO17" s="50"/>
      <c r="AP17" s="49"/>
      <c r="AQ17" s="49"/>
      <c r="AR17" s="49"/>
      <c r="AS17" s="49"/>
      <c r="AT17" s="49"/>
      <c r="AU17" s="50"/>
      <c r="AV17" s="50"/>
      <c r="AW17" s="49"/>
      <c r="AX17" s="49"/>
      <c r="AY17" s="49"/>
      <c r="AZ17" s="49"/>
      <c r="BA17" s="49"/>
      <c r="BB17" s="50"/>
      <c r="BC17" s="50"/>
      <c r="BD17" s="49"/>
      <c r="BE17" s="49"/>
      <c r="BF17" s="49"/>
      <c r="BG17" s="49"/>
      <c r="BH17" s="49"/>
      <c r="BI17" s="50"/>
      <c r="BJ17" s="50"/>
      <c r="BK17" s="49"/>
      <c r="BL17" s="49"/>
      <c r="BM17" s="49"/>
      <c r="BN17" s="49"/>
      <c r="BO17" s="49"/>
      <c r="BP17" s="50"/>
      <c r="BQ17" s="50"/>
      <c r="BR17" s="49"/>
      <c r="BS17" s="49"/>
      <c r="BT17" s="49"/>
      <c r="BU17" s="49"/>
      <c r="BV17" s="49"/>
      <c r="BW17" s="50"/>
      <c r="BX17" s="50"/>
      <c r="BY17" s="49"/>
      <c r="BZ17" s="49"/>
      <c r="CA17" s="49"/>
      <c r="CB17" s="49"/>
      <c r="CC17" s="49"/>
      <c r="CD17" s="50"/>
      <c r="CE17" s="50"/>
      <c r="CF17" s="49"/>
      <c r="CG17" s="49"/>
      <c r="CH17" s="49"/>
      <c r="CI17" s="49"/>
      <c r="CJ17" s="49"/>
      <c r="CK17" s="50"/>
      <c r="CL17" s="50"/>
      <c r="CM17" s="49"/>
      <c r="CN17" s="49"/>
      <c r="CO17" s="49"/>
      <c r="CP17" s="49"/>
      <c r="CQ17" s="49"/>
      <c r="CR17" s="50"/>
      <c r="CS17" s="50"/>
      <c r="CT17" s="49"/>
      <c r="CU17" s="49"/>
      <c r="CV17" s="49"/>
      <c r="CW17" s="49"/>
      <c r="CX17" s="49"/>
      <c r="CY17" s="50"/>
      <c r="CZ17" s="50"/>
      <c r="DA17" s="49"/>
      <c r="DB17" s="49"/>
      <c r="DC17" s="49"/>
      <c r="DD17" s="49"/>
      <c r="DE17" s="49"/>
      <c r="DF17" s="50"/>
      <c r="DG17" s="50"/>
      <c r="DH17" s="49"/>
      <c r="DI17" s="49"/>
      <c r="DJ17" s="49"/>
      <c r="DK17" s="49"/>
      <c r="DL17" s="49"/>
      <c r="DM17" s="50"/>
      <c r="DN17" s="50"/>
    </row>
    <row r="18" spans="1:118" ht="15.75" customHeight="1" x14ac:dyDescent="0.35">
      <c r="A18" s="51" t="s">
        <v>325</v>
      </c>
      <c r="B18" s="52" t="s">
        <v>326</v>
      </c>
      <c r="C18" s="53" t="s">
        <v>293</v>
      </c>
      <c r="D18" s="54">
        <v>2</v>
      </c>
      <c r="E18" s="55">
        <f>WORKDAY(E17,1)</f>
        <v>46322</v>
      </c>
      <c r="F18" s="55">
        <f t="shared" si="4"/>
        <v>46323</v>
      </c>
      <c r="G18" s="49"/>
      <c r="H18" s="49"/>
      <c r="I18" s="49"/>
      <c r="J18" s="49"/>
      <c r="K18" s="49"/>
      <c r="L18" s="50"/>
      <c r="M18" s="50"/>
      <c r="N18" s="49"/>
      <c r="O18" s="49"/>
      <c r="P18" s="49"/>
      <c r="Q18" s="49"/>
      <c r="R18" s="49"/>
      <c r="S18" s="50"/>
      <c r="T18" s="50"/>
      <c r="U18" s="49"/>
      <c r="V18" s="49"/>
      <c r="W18" s="49"/>
      <c r="X18" s="49"/>
      <c r="Y18" s="49"/>
      <c r="Z18" s="50"/>
      <c r="AA18" s="50"/>
      <c r="AB18" s="49"/>
      <c r="AC18" s="49"/>
      <c r="AD18" s="49"/>
      <c r="AE18" s="49"/>
      <c r="AF18" s="49"/>
      <c r="AG18" s="50"/>
      <c r="AH18" s="50"/>
      <c r="AI18" s="49"/>
      <c r="AJ18" s="49"/>
      <c r="AK18" s="49"/>
      <c r="AL18" s="49"/>
      <c r="AM18" s="49"/>
      <c r="AN18" s="50"/>
      <c r="AO18" s="50"/>
      <c r="AP18" s="49"/>
      <c r="AQ18" s="49"/>
      <c r="AR18" s="49"/>
      <c r="AS18" s="49"/>
      <c r="AT18" s="49"/>
      <c r="AU18" s="50"/>
      <c r="AV18" s="50"/>
      <c r="AW18" s="49"/>
      <c r="AX18" s="49"/>
      <c r="AY18" s="49"/>
      <c r="AZ18" s="49"/>
      <c r="BA18" s="49"/>
      <c r="BB18" s="50"/>
      <c r="BC18" s="50"/>
      <c r="BD18" s="49"/>
      <c r="BE18" s="49"/>
      <c r="BF18" s="49"/>
      <c r="BG18" s="49"/>
      <c r="BH18" s="49"/>
      <c r="BI18" s="50"/>
      <c r="BJ18" s="50"/>
      <c r="BK18" s="49"/>
      <c r="BL18" s="49"/>
      <c r="BM18" s="49"/>
      <c r="BN18" s="49"/>
      <c r="BO18" s="49"/>
      <c r="BP18" s="50"/>
      <c r="BQ18" s="50"/>
      <c r="BR18" s="49"/>
      <c r="BS18" s="49"/>
      <c r="BT18" s="49"/>
      <c r="BU18" s="49"/>
      <c r="BV18" s="49"/>
      <c r="BW18" s="50"/>
      <c r="BX18" s="50"/>
      <c r="BY18" s="49"/>
      <c r="BZ18" s="49"/>
      <c r="CA18" s="49"/>
      <c r="CB18" s="49"/>
      <c r="CC18" s="49"/>
      <c r="CD18" s="50"/>
      <c r="CE18" s="50"/>
      <c r="CF18" s="49"/>
      <c r="CG18" s="49"/>
      <c r="CH18" s="49"/>
      <c r="CI18" s="49"/>
      <c r="CJ18" s="49"/>
      <c r="CK18" s="50"/>
      <c r="CL18" s="50"/>
      <c r="CM18" s="49"/>
      <c r="CN18" s="49"/>
      <c r="CO18" s="49"/>
      <c r="CP18" s="49"/>
      <c r="CQ18" s="49"/>
      <c r="CR18" s="50"/>
      <c r="CS18" s="50"/>
      <c r="CT18" s="49"/>
      <c r="CU18" s="49"/>
      <c r="CV18" s="49"/>
      <c r="CW18" s="49"/>
      <c r="CX18" s="49"/>
      <c r="CY18" s="50"/>
      <c r="CZ18" s="50"/>
      <c r="DA18" s="49"/>
      <c r="DB18" s="49"/>
      <c r="DC18" s="49"/>
      <c r="DD18" s="49"/>
      <c r="DE18" s="49"/>
      <c r="DF18" s="50"/>
      <c r="DG18" s="50"/>
      <c r="DH18" s="49"/>
      <c r="DI18" s="49"/>
      <c r="DJ18" s="49"/>
      <c r="DK18" s="49"/>
      <c r="DL18" s="49"/>
      <c r="DM18" s="50"/>
      <c r="DN18" s="50"/>
    </row>
    <row r="19" spans="1:118" ht="15.75" customHeight="1" x14ac:dyDescent="0.35">
      <c r="A19" s="51" t="s">
        <v>327</v>
      </c>
      <c r="B19" s="52" t="s">
        <v>328</v>
      </c>
      <c r="C19" s="53" t="s">
        <v>293</v>
      </c>
      <c r="D19" s="54">
        <v>2</v>
      </c>
      <c r="E19" s="55">
        <f>WORKDAY(F18,1)</f>
        <v>46324</v>
      </c>
      <c r="F19" s="55">
        <f t="shared" si="4"/>
        <v>46325</v>
      </c>
      <c r="G19" s="49"/>
      <c r="H19" s="49"/>
      <c r="I19" s="49"/>
      <c r="J19" s="49"/>
      <c r="K19" s="49"/>
      <c r="L19" s="50"/>
      <c r="M19" s="50"/>
      <c r="N19" s="49"/>
      <c r="O19" s="49"/>
      <c r="P19" s="49"/>
      <c r="Q19" s="49"/>
      <c r="R19" s="49"/>
      <c r="S19" s="50"/>
      <c r="T19" s="50"/>
      <c r="U19" s="49"/>
      <c r="V19" s="49"/>
      <c r="W19" s="49"/>
      <c r="X19" s="49"/>
      <c r="Y19" s="49"/>
      <c r="Z19" s="50"/>
      <c r="AA19" s="50"/>
      <c r="AB19" s="49"/>
      <c r="AC19" s="49"/>
      <c r="AD19" s="49"/>
      <c r="AE19" s="49"/>
      <c r="AF19" s="49"/>
      <c r="AG19" s="50"/>
      <c r="AH19" s="50"/>
      <c r="AI19" s="49"/>
      <c r="AJ19" s="49"/>
      <c r="AK19" s="49"/>
      <c r="AL19" s="49"/>
      <c r="AM19" s="49"/>
      <c r="AN19" s="50"/>
      <c r="AO19" s="50"/>
      <c r="AP19" s="49"/>
      <c r="AQ19" s="49"/>
      <c r="AR19" s="49"/>
      <c r="AS19" s="49"/>
      <c r="AT19" s="49"/>
      <c r="AU19" s="50"/>
      <c r="AV19" s="50"/>
      <c r="AW19" s="49"/>
      <c r="AX19" s="49"/>
      <c r="AY19" s="49"/>
      <c r="AZ19" s="49"/>
      <c r="BA19" s="49"/>
      <c r="BB19" s="50"/>
      <c r="BC19" s="50"/>
      <c r="BD19" s="49"/>
      <c r="BE19" s="49"/>
      <c r="BF19" s="49"/>
      <c r="BG19" s="49"/>
      <c r="BH19" s="49"/>
      <c r="BI19" s="50"/>
      <c r="BJ19" s="50"/>
      <c r="BK19" s="49"/>
      <c r="BL19" s="49"/>
      <c r="BM19" s="49"/>
      <c r="BN19" s="49"/>
      <c r="BO19" s="49"/>
      <c r="BP19" s="50"/>
      <c r="BQ19" s="50"/>
      <c r="BR19" s="49"/>
      <c r="BS19" s="49"/>
      <c r="BT19" s="49"/>
      <c r="BU19" s="49"/>
      <c r="BV19" s="49"/>
      <c r="BW19" s="50"/>
      <c r="BX19" s="50"/>
      <c r="BY19" s="49"/>
      <c r="BZ19" s="49"/>
      <c r="CA19" s="49"/>
      <c r="CB19" s="49"/>
      <c r="CC19" s="49"/>
      <c r="CD19" s="50"/>
      <c r="CE19" s="50"/>
      <c r="CF19" s="49"/>
      <c r="CG19" s="49"/>
      <c r="CH19" s="49"/>
      <c r="CI19" s="49"/>
      <c r="CJ19" s="49"/>
      <c r="CK19" s="50"/>
      <c r="CL19" s="50"/>
      <c r="CM19" s="49"/>
      <c r="CN19" s="49"/>
      <c r="CO19" s="49"/>
      <c r="CP19" s="49"/>
      <c r="CQ19" s="49"/>
      <c r="CR19" s="50"/>
      <c r="CS19" s="50"/>
      <c r="CT19" s="49"/>
      <c r="CU19" s="49"/>
      <c r="CV19" s="49"/>
      <c r="CW19" s="49"/>
      <c r="CX19" s="49"/>
      <c r="CY19" s="50"/>
      <c r="CZ19" s="50"/>
      <c r="DA19" s="49"/>
      <c r="DB19" s="49"/>
      <c r="DC19" s="49"/>
      <c r="DD19" s="49"/>
      <c r="DE19" s="49"/>
      <c r="DF19" s="50"/>
      <c r="DG19" s="50"/>
      <c r="DH19" s="49"/>
      <c r="DI19" s="49"/>
      <c r="DJ19" s="49"/>
      <c r="DK19" s="49"/>
      <c r="DL19" s="49"/>
      <c r="DM19" s="50"/>
      <c r="DN19" s="50"/>
    </row>
    <row r="20" spans="1:118" ht="15.75" customHeight="1" x14ac:dyDescent="0.35">
      <c r="A20" s="51" t="s">
        <v>329</v>
      </c>
      <c r="B20" s="52" t="s">
        <v>330</v>
      </c>
      <c r="C20" s="53" t="s">
        <v>293</v>
      </c>
      <c r="D20" s="54">
        <v>3</v>
      </c>
      <c r="E20" s="55">
        <f>WORKDAY(F17,1)</f>
        <v>46324</v>
      </c>
      <c r="F20" s="55">
        <f t="shared" si="4"/>
        <v>46328</v>
      </c>
      <c r="G20" s="49"/>
      <c r="H20" s="49"/>
      <c r="I20" s="49"/>
      <c r="J20" s="49"/>
      <c r="K20" s="49"/>
      <c r="L20" s="50"/>
      <c r="M20" s="50"/>
      <c r="N20" s="49"/>
      <c r="O20" s="49"/>
      <c r="P20" s="49"/>
      <c r="Q20" s="49"/>
      <c r="R20" s="49"/>
      <c r="S20" s="50"/>
      <c r="T20" s="50"/>
      <c r="U20" s="49"/>
      <c r="V20" s="49"/>
      <c r="W20" s="49"/>
      <c r="X20" s="49"/>
      <c r="Y20" s="49"/>
      <c r="Z20" s="50"/>
      <c r="AA20" s="50"/>
      <c r="AB20" s="49"/>
      <c r="AC20" s="49"/>
      <c r="AD20" s="49"/>
      <c r="AE20" s="49"/>
      <c r="AF20" s="49"/>
      <c r="AG20" s="50"/>
      <c r="AH20" s="50"/>
      <c r="AI20" s="49"/>
      <c r="AJ20" s="49"/>
      <c r="AK20" s="49"/>
      <c r="AL20" s="49"/>
      <c r="AM20" s="49"/>
      <c r="AN20" s="50"/>
      <c r="AO20" s="50"/>
      <c r="AP20" s="49"/>
      <c r="AQ20" s="49"/>
      <c r="AR20" s="49"/>
      <c r="AS20" s="49"/>
      <c r="AT20" s="49"/>
      <c r="AU20" s="50"/>
      <c r="AV20" s="50"/>
      <c r="AW20" s="49"/>
      <c r="AX20" s="49"/>
      <c r="AY20" s="49"/>
      <c r="AZ20" s="49"/>
      <c r="BA20" s="49"/>
      <c r="BB20" s="50"/>
      <c r="BC20" s="50"/>
      <c r="BD20" s="49"/>
      <c r="BE20" s="49"/>
      <c r="BF20" s="49"/>
      <c r="BG20" s="49"/>
      <c r="BH20" s="49"/>
      <c r="BI20" s="50"/>
      <c r="BJ20" s="50"/>
      <c r="BK20" s="49"/>
      <c r="BL20" s="49"/>
      <c r="BM20" s="49"/>
      <c r="BN20" s="49"/>
      <c r="BO20" s="49"/>
      <c r="BP20" s="50"/>
      <c r="BQ20" s="50"/>
      <c r="BR20" s="49"/>
      <c r="BS20" s="49"/>
      <c r="BT20" s="49"/>
      <c r="BU20" s="49"/>
      <c r="BV20" s="49"/>
      <c r="BW20" s="50"/>
      <c r="BX20" s="50"/>
      <c r="BY20" s="49"/>
      <c r="BZ20" s="49"/>
      <c r="CA20" s="49"/>
      <c r="CB20" s="49"/>
      <c r="CC20" s="49"/>
      <c r="CD20" s="50"/>
      <c r="CE20" s="50"/>
      <c r="CF20" s="49"/>
      <c r="CG20" s="49"/>
      <c r="CH20" s="49"/>
      <c r="CI20" s="49"/>
      <c r="CJ20" s="49"/>
      <c r="CK20" s="50"/>
      <c r="CL20" s="50"/>
      <c r="CM20" s="49"/>
      <c r="CN20" s="49"/>
      <c r="CO20" s="49"/>
      <c r="CP20" s="49"/>
      <c r="CQ20" s="49"/>
      <c r="CR20" s="50"/>
      <c r="CS20" s="50"/>
      <c r="CT20" s="49"/>
      <c r="CU20" s="49"/>
      <c r="CV20" s="49"/>
      <c r="CW20" s="49"/>
      <c r="CX20" s="49"/>
      <c r="CY20" s="50"/>
      <c r="CZ20" s="50"/>
      <c r="DA20" s="49"/>
      <c r="DB20" s="49"/>
      <c r="DC20" s="49"/>
      <c r="DD20" s="49"/>
      <c r="DE20" s="49"/>
      <c r="DF20" s="50"/>
      <c r="DG20" s="50"/>
      <c r="DH20" s="49"/>
      <c r="DI20" s="49"/>
      <c r="DJ20" s="49"/>
      <c r="DK20" s="49"/>
      <c r="DL20" s="49"/>
      <c r="DM20" s="50"/>
      <c r="DN20" s="50"/>
    </row>
    <row r="21" spans="1:118" ht="15.75" customHeight="1" x14ac:dyDescent="0.35">
      <c r="A21" s="51" t="s">
        <v>331</v>
      </c>
      <c r="B21" s="52" t="s">
        <v>332</v>
      </c>
      <c r="C21" s="53" t="s">
        <v>293</v>
      </c>
      <c r="D21" s="54">
        <v>2</v>
      </c>
      <c r="E21" s="55">
        <f>WORKDAY(E20,2)</f>
        <v>46328</v>
      </c>
      <c r="F21" s="55">
        <f t="shared" si="4"/>
        <v>46329</v>
      </c>
      <c r="G21" s="49"/>
      <c r="H21" s="49"/>
      <c r="I21" s="49"/>
      <c r="J21" s="49"/>
      <c r="K21" s="49"/>
      <c r="L21" s="50"/>
      <c r="M21" s="50"/>
      <c r="N21" s="49"/>
      <c r="O21" s="49"/>
      <c r="P21" s="49"/>
      <c r="Q21" s="49"/>
      <c r="R21" s="49"/>
      <c r="S21" s="50"/>
      <c r="T21" s="50"/>
      <c r="U21" s="49"/>
      <c r="V21" s="49"/>
      <c r="W21" s="49"/>
      <c r="X21" s="49"/>
      <c r="Y21" s="49"/>
      <c r="Z21" s="50"/>
      <c r="AA21" s="50"/>
      <c r="AB21" s="49"/>
      <c r="AC21" s="49"/>
      <c r="AD21" s="49"/>
      <c r="AE21" s="49"/>
      <c r="AF21" s="49"/>
      <c r="AG21" s="50"/>
      <c r="AH21" s="50"/>
      <c r="AI21" s="49"/>
      <c r="AJ21" s="49"/>
      <c r="AK21" s="49"/>
      <c r="AL21" s="49"/>
      <c r="AM21" s="49"/>
      <c r="AN21" s="50"/>
      <c r="AO21" s="50"/>
      <c r="AP21" s="49"/>
      <c r="AQ21" s="49"/>
      <c r="AR21" s="49"/>
      <c r="AS21" s="49"/>
      <c r="AT21" s="49"/>
      <c r="AU21" s="50"/>
      <c r="AV21" s="50"/>
      <c r="AW21" s="49"/>
      <c r="AX21" s="49"/>
      <c r="AY21" s="49"/>
      <c r="AZ21" s="49"/>
      <c r="BA21" s="49"/>
      <c r="BB21" s="50"/>
      <c r="BC21" s="50"/>
      <c r="BD21" s="49"/>
      <c r="BE21" s="49"/>
      <c r="BF21" s="49"/>
      <c r="BG21" s="49"/>
      <c r="BH21" s="49"/>
      <c r="BI21" s="50"/>
      <c r="BJ21" s="50"/>
      <c r="BK21" s="49"/>
      <c r="BL21" s="49"/>
      <c r="BM21" s="49"/>
      <c r="BN21" s="49"/>
      <c r="BO21" s="49"/>
      <c r="BP21" s="50"/>
      <c r="BQ21" s="50"/>
      <c r="BR21" s="49"/>
      <c r="BS21" s="49"/>
      <c r="BT21" s="49"/>
      <c r="BU21" s="49"/>
      <c r="BV21" s="49"/>
      <c r="BW21" s="50"/>
      <c r="BX21" s="50"/>
      <c r="BY21" s="49"/>
      <c r="BZ21" s="49"/>
      <c r="CA21" s="49"/>
      <c r="CB21" s="49"/>
      <c r="CC21" s="49"/>
      <c r="CD21" s="50"/>
      <c r="CE21" s="50"/>
      <c r="CF21" s="49"/>
      <c r="CG21" s="49"/>
      <c r="CH21" s="49"/>
      <c r="CI21" s="49"/>
      <c r="CJ21" s="49"/>
      <c r="CK21" s="50"/>
      <c r="CL21" s="50"/>
      <c r="CM21" s="49"/>
      <c r="CN21" s="49"/>
      <c r="CO21" s="49"/>
      <c r="CP21" s="49"/>
      <c r="CQ21" s="49"/>
      <c r="CR21" s="50"/>
      <c r="CS21" s="50"/>
      <c r="CT21" s="49"/>
      <c r="CU21" s="49"/>
      <c r="CV21" s="49"/>
      <c r="CW21" s="49"/>
      <c r="CX21" s="49"/>
      <c r="CY21" s="50"/>
      <c r="CZ21" s="50"/>
      <c r="DA21" s="49"/>
      <c r="DB21" s="49"/>
      <c r="DC21" s="49"/>
      <c r="DD21" s="49"/>
      <c r="DE21" s="49"/>
      <c r="DF21" s="50"/>
      <c r="DG21" s="50"/>
      <c r="DH21" s="49"/>
      <c r="DI21" s="49"/>
      <c r="DJ21" s="49"/>
      <c r="DK21" s="49"/>
      <c r="DL21" s="49"/>
      <c r="DM21" s="50"/>
      <c r="DN21" s="50"/>
    </row>
    <row r="22" spans="1:118" ht="15.75" customHeight="1" x14ac:dyDescent="0.35">
      <c r="A22" s="51" t="s">
        <v>333</v>
      </c>
      <c r="B22" s="52" t="s">
        <v>334</v>
      </c>
      <c r="C22" s="53" t="s">
        <v>293</v>
      </c>
      <c r="D22" s="54">
        <v>2</v>
      </c>
      <c r="E22" s="55">
        <f>WORKDAY(F20,1)</f>
        <v>46329</v>
      </c>
      <c r="F22" s="55">
        <f t="shared" si="4"/>
        <v>46330</v>
      </c>
      <c r="G22" s="49"/>
      <c r="H22" s="49"/>
      <c r="I22" s="49"/>
      <c r="J22" s="49"/>
      <c r="K22" s="49"/>
      <c r="L22" s="50"/>
      <c r="M22" s="50"/>
      <c r="N22" s="49"/>
      <c r="O22" s="49"/>
      <c r="P22" s="49"/>
      <c r="Q22" s="49"/>
      <c r="R22" s="49"/>
      <c r="S22" s="50"/>
      <c r="T22" s="50"/>
      <c r="U22" s="49"/>
      <c r="V22" s="49"/>
      <c r="W22" s="49"/>
      <c r="X22" s="49"/>
      <c r="Y22" s="49"/>
      <c r="Z22" s="50"/>
      <c r="AA22" s="50"/>
      <c r="AB22" s="49"/>
      <c r="AC22" s="49"/>
      <c r="AD22" s="49"/>
      <c r="AE22" s="49"/>
      <c r="AF22" s="49"/>
      <c r="AG22" s="50"/>
      <c r="AH22" s="50"/>
      <c r="AI22" s="49"/>
      <c r="AJ22" s="49"/>
      <c r="AK22" s="49"/>
      <c r="AL22" s="49"/>
      <c r="AM22" s="49"/>
      <c r="AN22" s="50"/>
      <c r="AO22" s="50"/>
      <c r="AP22" s="49"/>
      <c r="AQ22" s="49"/>
      <c r="AR22" s="49"/>
      <c r="AS22" s="49"/>
      <c r="AT22" s="49"/>
      <c r="AU22" s="50"/>
      <c r="AV22" s="50"/>
      <c r="AW22" s="49"/>
      <c r="AX22" s="49"/>
      <c r="AY22" s="49"/>
      <c r="AZ22" s="49"/>
      <c r="BA22" s="49"/>
      <c r="BB22" s="50"/>
      <c r="BC22" s="50"/>
      <c r="BD22" s="49"/>
      <c r="BE22" s="49"/>
      <c r="BF22" s="49"/>
      <c r="BG22" s="49"/>
      <c r="BH22" s="49"/>
      <c r="BI22" s="50"/>
      <c r="BJ22" s="50"/>
      <c r="BK22" s="49"/>
      <c r="BL22" s="49"/>
      <c r="BM22" s="49"/>
      <c r="BN22" s="49"/>
      <c r="BO22" s="49"/>
      <c r="BP22" s="50"/>
      <c r="BQ22" s="50"/>
      <c r="BR22" s="49"/>
      <c r="BS22" s="49"/>
      <c r="BT22" s="49"/>
      <c r="BU22" s="49"/>
      <c r="BV22" s="49"/>
      <c r="BW22" s="50"/>
      <c r="BX22" s="50"/>
      <c r="BY22" s="49"/>
      <c r="BZ22" s="49"/>
      <c r="CA22" s="49"/>
      <c r="CB22" s="49"/>
      <c r="CC22" s="49"/>
      <c r="CD22" s="50"/>
      <c r="CE22" s="50"/>
      <c r="CF22" s="49"/>
      <c r="CG22" s="49"/>
      <c r="CH22" s="49"/>
      <c r="CI22" s="49"/>
      <c r="CJ22" s="49"/>
      <c r="CK22" s="50"/>
      <c r="CL22" s="50"/>
      <c r="CM22" s="49"/>
      <c r="CN22" s="49"/>
      <c r="CO22" s="49"/>
      <c r="CP22" s="49"/>
      <c r="CQ22" s="49"/>
      <c r="CR22" s="50"/>
      <c r="CS22" s="50"/>
      <c r="CT22" s="49"/>
      <c r="CU22" s="49"/>
      <c r="CV22" s="49"/>
      <c r="CW22" s="49"/>
      <c r="CX22" s="49"/>
      <c r="CY22" s="50"/>
      <c r="CZ22" s="50"/>
      <c r="DA22" s="49"/>
      <c r="DB22" s="49"/>
      <c r="DC22" s="49"/>
      <c r="DD22" s="49"/>
      <c r="DE22" s="49"/>
      <c r="DF22" s="50"/>
      <c r="DG22" s="50"/>
      <c r="DH22" s="49"/>
      <c r="DI22" s="49"/>
      <c r="DJ22" s="49"/>
      <c r="DK22" s="49"/>
      <c r="DL22" s="49"/>
      <c r="DM22" s="50"/>
      <c r="DN22" s="50"/>
    </row>
    <row r="23" spans="1:118" ht="15.75" customHeight="1" x14ac:dyDescent="0.35">
      <c r="A23" s="51" t="s">
        <v>335</v>
      </c>
      <c r="B23" s="52" t="s">
        <v>336</v>
      </c>
      <c r="C23" s="53" t="s">
        <v>337</v>
      </c>
      <c r="D23" s="54">
        <v>2</v>
      </c>
      <c r="E23" s="55">
        <f>WORKDAY(F21,1)</f>
        <v>46330</v>
      </c>
      <c r="F23" s="55">
        <f t="shared" si="4"/>
        <v>46331</v>
      </c>
      <c r="G23" s="49"/>
      <c r="H23" s="49"/>
      <c r="I23" s="49"/>
      <c r="J23" s="49"/>
      <c r="K23" s="49"/>
      <c r="L23" s="50"/>
      <c r="M23" s="50"/>
      <c r="N23" s="49"/>
      <c r="O23" s="49"/>
      <c r="P23" s="49"/>
      <c r="Q23" s="49"/>
      <c r="R23" s="49"/>
      <c r="S23" s="50"/>
      <c r="T23" s="50"/>
      <c r="U23" s="49"/>
      <c r="V23" s="49"/>
      <c r="W23" s="49"/>
      <c r="X23" s="49"/>
      <c r="Y23" s="49"/>
      <c r="Z23" s="50"/>
      <c r="AA23" s="50"/>
      <c r="AB23" s="49"/>
      <c r="AC23" s="49"/>
      <c r="AD23" s="49"/>
      <c r="AE23" s="49"/>
      <c r="AF23" s="49"/>
      <c r="AG23" s="50"/>
      <c r="AH23" s="50"/>
      <c r="AI23" s="49"/>
      <c r="AJ23" s="49"/>
      <c r="AK23" s="49"/>
      <c r="AL23" s="49"/>
      <c r="AM23" s="49"/>
      <c r="AN23" s="50"/>
      <c r="AO23" s="50"/>
      <c r="AP23" s="49"/>
      <c r="AQ23" s="49"/>
      <c r="AR23" s="49"/>
      <c r="AS23" s="49"/>
      <c r="AT23" s="49"/>
      <c r="AU23" s="50"/>
      <c r="AV23" s="50"/>
      <c r="AW23" s="49"/>
      <c r="AX23" s="49"/>
      <c r="AY23" s="49"/>
      <c r="AZ23" s="49"/>
      <c r="BA23" s="49"/>
      <c r="BB23" s="50"/>
      <c r="BC23" s="50"/>
      <c r="BD23" s="49"/>
      <c r="BE23" s="49"/>
      <c r="BF23" s="49"/>
      <c r="BG23" s="49"/>
      <c r="BH23" s="49"/>
      <c r="BI23" s="50"/>
      <c r="BJ23" s="50"/>
      <c r="BK23" s="49"/>
      <c r="BL23" s="49"/>
      <c r="BM23" s="49"/>
      <c r="BN23" s="49"/>
      <c r="BO23" s="49"/>
      <c r="BP23" s="50"/>
      <c r="BQ23" s="50"/>
      <c r="BR23" s="49"/>
      <c r="BS23" s="49"/>
      <c r="BT23" s="49"/>
      <c r="BU23" s="49"/>
      <c r="BV23" s="49"/>
      <c r="BW23" s="50"/>
      <c r="BX23" s="50"/>
      <c r="BY23" s="49"/>
      <c r="BZ23" s="49"/>
      <c r="CA23" s="49"/>
      <c r="CB23" s="49"/>
      <c r="CC23" s="49"/>
      <c r="CD23" s="50"/>
      <c r="CE23" s="50"/>
      <c r="CF23" s="49"/>
      <c r="CG23" s="49"/>
      <c r="CH23" s="49"/>
      <c r="CI23" s="49"/>
      <c r="CJ23" s="49"/>
      <c r="CK23" s="50"/>
      <c r="CL23" s="50"/>
      <c r="CM23" s="49"/>
      <c r="CN23" s="49"/>
      <c r="CO23" s="49"/>
      <c r="CP23" s="49"/>
      <c r="CQ23" s="49"/>
      <c r="CR23" s="50"/>
      <c r="CS23" s="50"/>
      <c r="CT23" s="49"/>
      <c r="CU23" s="49"/>
      <c r="CV23" s="49"/>
      <c r="CW23" s="49"/>
      <c r="CX23" s="49"/>
      <c r="CY23" s="50"/>
      <c r="CZ23" s="50"/>
      <c r="DA23" s="49"/>
      <c r="DB23" s="49"/>
      <c r="DC23" s="49"/>
      <c r="DD23" s="49"/>
      <c r="DE23" s="49"/>
      <c r="DF23" s="50"/>
      <c r="DG23" s="50"/>
      <c r="DH23" s="49"/>
      <c r="DI23" s="49"/>
      <c r="DJ23" s="49"/>
      <c r="DK23" s="49"/>
      <c r="DL23" s="49"/>
      <c r="DM23" s="50"/>
      <c r="DN23" s="50"/>
    </row>
    <row r="24" spans="1:118" ht="15.75" customHeight="1" x14ac:dyDescent="0.35">
      <c r="A24" s="51" t="s">
        <v>338</v>
      </c>
      <c r="B24" s="52" t="s">
        <v>339</v>
      </c>
      <c r="C24" s="53" t="s">
        <v>293</v>
      </c>
      <c r="D24" s="54">
        <v>1</v>
      </c>
      <c r="E24" s="55">
        <f>WORKDAY(F23,1)</f>
        <v>46332</v>
      </c>
      <c r="F24" s="55">
        <f t="shared" si="4"/>
        <v>46332</v>
      </c>
      <c r="G24" s="49"/>
      <c r="H24" s="49"/>
      <c r="I24" s="49"/>
      <c r="J24" s="49"/>
      <c r="K24" s="49"/>
      <c r="L24" s="50"/>
      <c r="M24" s="50"/>
      <c r="N24" s="49"/>
      <c r="O24" s="49"/>
      <c r="P24" s="49"/>
      <c r="Q24" s="49"/>
      <c r="R24" s="49"/>
      <c r="S24" s="50"/>
      <c r="T24" s="50"/>
      <c r="U24" s="49"/>
      <c r="V24" s="49"/>
      <c r="W24" s="49"/>
      <c r="X24" s="49"/>
      <c r="Y24" s="49"/>
      <c r="Z24" s="50"/>
      <c r="AA24" s="50"/>
      <c r="AB24" s="49"/>
      <c r="AC24" s="49"/>
      <c r="AD24" s="49"/>
      <c r="AE24" s="49"/>
      <c r="AF24" s="49"/>
      <c r="AG24" s="50"/>
      <c r="AH24" s="50"/>
      <c r="AI24" s="49"/>
      <c r="AJ24" s="49"/>
      <c r="AK24" s="49"/>
      <c r="AL24" s="49"/>
      <c r="AM24" s="49"/>
      <c r="AN24" s="50"/>
      <c r="AO24" s="50"/>
      <c r="AP24" s="49"/>
      <c r="AQ24" s="49"/>
      <c r="AR24" s="49"/>
      <c r="AS24" s="49"/>
      <c r="AT24" s="49"/>
      <c r="AU24" s="50"/>
      <c r="AV24" s="50"/>
      <c r="AW24" s="49"/>
      <c r="AX24" s="49"/>
      <c r="AY24" s="49"/>
      <c r="AZ24" s="49"/>
      <c r="BA24" s="49"/>
      <c r="BB24" s="50"/>
      <c r="BC24" s="50"/>
      <c r="BD24" s="49"/>
      <c r="BE24" s="49"/>
      <c r="BF24" s="49"/>
      <c r="BG24" s="49"/>
      <c r="BH24" s="49"/>
      <c r="BI24" s="50"/>
      <c r="BJ24" s="50"/>
      <c r="BK24" s="49"/>
      <c r="BL24" s="49"/>
      <c r="BM24" s="49"/>
      <c r="BN24" s="49"/>
      <c r="BO24" s="49"/>
      <c r="BP24" s="50"/>
      <c r="BQ24" s="50"/>
      <c r="BR24" s="49"/>
      <c r="BS24" s="49"/>
      <c r="BT24" s="49"/>
      <c r="BU24" s="49"/>
      <c r="BV24" s="49"/>
      <c r="BW24" s="50"/>
      <c r="BX24" s="50"/>
      <c r="BY24" s="49"/>
      <c r="BZ24" s="49"/>
      <c r="CA24" s="49"/>
      <c r="CB24" s="49"/>
      <c r="CC24" s="49"/>
      <c r="CD24" s="50"/>
      <c r="CE24" s="50"/>
      <c r="CF24" s="49"/>
      <c r="CG24" s="49"/>
      <c r="CH24" s="49"/>
      <c r="CI24" s="49"/>
      <c r="CJ24" s="49"/>
      <c r="CK24" s="50"/>
      <c r="CL24" s="50"/>
      <c r="CM24" s="49"/>
      <c r="CN24" s="49"/>
      <c r="CO24" s="49"/>
      <c r="CP24" s="49"/>
      <c r="CQ24" s="49"/>
      <c r="CR24" s="50"/>
      <c r="CS24" s="50"/>
      <c r="CT24" s="49"/>
      <c r="CU24" s="49"/>
      <c r="CV24" s="49"/>
      <c r="CW24" s="49"/>
      <c r="CX24" s="49"/>
      <c r="CY24" s="50"/>
      <c r="CZ24" s="50"/>
      <c r="DA24" s="49"/>
      <c r="DB24" s="49"/>
      <c r="DC24" s="49"/>
      <c r="DD24" s="49"/>
      <c r="DE24" s="49"/>
      <c r="DF24" s="50"/>
      <c r="DG24" s="50"/>
      <c r="DH24" s="49"/>
      <c r="DI24" s="49"/>
      <c r="DJ24" s="49"/>
      <c r="DK24" s="49"/>
      <c r="DL24" s="49"/>
      <c r="DM24" s="50"/>
      <c r="DN24" s="50"/>
    </row>
    <row r="25" spans="1:118" ht="15.75" customHeight="1" x14ac:dyDescent="0.35">
      <c r="A25" s="56" t="s">
        <v>340</v>
      </c>
      <c r="B25" s="57" t="s">
        <v>341</v>
      </c>
      <c r="C25" s="53" t="s">
        <v>342</v>
      </c>
      <c r="D25" s="58">
        <v>0</v>
      </c>
      <c r="E25" s="59">
        <f>F5</f>
        <v>46332</v>
      </c>
      <c r="F25" s="59">
        <f t="shared" si="4"/>
        <v>46332</v>
      </c>
      <c r="G25" s="49"/>
      <c r="H25" s="49"/>
      <c r="I25" s="49"/>
      <c r="J25" s="49"/>
      <c r="K25" s="49"/>
      <c r="L25" s="50"/>
      <c r="M25" s="50"/>
      <c r="N25" s="49"/>
      <c r="O25" s="49"/>
      <c r="P25" s="49"/>
      <c r="Q25" s="49"/>
      <c r="R25" s="49"/>
      <c r="S25" s="50"/>
      <c r="T25" s="50"/>
      <c r="U25" s="49"/>
      <c r="V25" s="49"/>
      <c r="W25" s="49"/>
      <c r="X25" s="49"/>
      <c r="Y25" s="49"/>
      <c r="Z25" s="50"/>
      <c r="AA25" s="50"/>
      <c r="AB25" s="49"/>
      <c r="AC25" s="49"/>
      <c r="AD25" s="49"/>
      <c r="AE25" s="49"/>
      <c r="AF25" s="49"/>
      <c r="AG25" s="50"/>
      <c r="AH25" s="50"/>
      <c r="AI25" s="49"/>
      <c r="AJ25" s="49"/>
      <c r="AK25" s="49"/>
      <c r="AL25" s="49"/>
      <c r="AM25" s="49"/>
      <c r="AN25" s="50"/>
      <c r="AO25" s="50"/>
      <c r="AP25" s="49"/>
      <c r="AQ25" s="49"/>
      <c r="AR25" s="49"/>
      <c r="AS25" s="49"/>
      <c r="AT25" s="49"/>
      <c r="AU25" s="50"/>
      <c r="AV25" s="50"/>
      <c r="AW25" s="49"/>
      <c r="AX25" s="49"/>
      <c r="AY25" s="49"/>
      <c r="AZ25" s="49"/>
      <c r="BA25" s="49"/>
      <c r="BB25" s="50"/>
      <c r="BC25" s="50"/>
      <c r="BD25" s="49"/>
      <c r="BE25" s="49"/>
      <c r="BF25" s="49"/>
      <c r="BG25" s="49"/>
      <c r="BH25" s="49"/>
      <c r="BI25" s="50"/>
      <c r="BJ25" s="50"/>
      <c r="BK25" s="49"/>
      <c r="BL25" s="49"/>
      <c r="BM25" s="49"/>
      <c r="BN25" s="49"/>
      <c r="BO25" s="49"/>
      <c r="BP25" s="50"/>
      <c r="BQ25" s="50"/>
      <c r="BR25" s="49"/>
      <c r="BS25" s="49"/>
      <c r="BT25" s="49"/>
      <c r="BU25" s="49"/>
      <c r="BV25" s="49"/>
      <c r="BW25" s="50"/>
      <c r="BX25" s="50"/>
      <c r="BY25" s="49"/>
      <c r="BZ25" s="49"/>
      <c r="CA25" s="49"/>
      <c r="CB25" s="49"/>
      <c r="CC25" s="49"/>
      <c r="CD25" s="50"/>
      <c r="CE25" s="50"/>
      <c r="CF25" s="49"/>
      <c r="CG25" s="49"/>
      <c r="CH25" s="49"/>
      <c r="CI25" s="49"/>
      <c r="CJ25" s="49"/>
      <c r="CK25" s="50"/>
      <c r="CL25" s="50"/>
      <c r="CM25" s="49"/>
      <c r="CN25" s="49"/>
      <c r="CO25" s="49"/>
      <c r="CP25" s="49"/>
      <c r="CQ25" s="49"/>
      <c r="CR25" s="50"/>
      <c r="CS25" s="50"/>
      <c r="CT25" s="49"/>
      <c r="CU25" s="49"/>
      <c r="CV25" s="49"/>
      <c r="CW25" s="49"/>
      <c r="CX25" s="49"/>
      <c r="CY25" s="50"/>
      <c r="CZ25" s="50"/>
      <c r="DA25" s="49"/>
      <c r="DB25" s="49"/>
      <c r="DC25" s="49"/>
      <c r="DD25" s="49"/>
      <c r="DE25" s="49"/>
      <c r="DF25" s="50"/>
      <c r="DG25" s="50"/>
      <c r="DH25" s="49"/>
      <c r="DI25" s="49"/>
      <c r="DJ25" s="49"/>
      <c r="DK25" s="49"/>
      <c r="DL25" s="49"/>
      <c r="DM25" s="50"/>
      <c r="DN25" s="50"/>
    </row>
    <row r="26" spans="1:118" ht="15.75" customHeight="1" x14ac:dyDescent="0.35">
      <c r="A26" s="44" t="s">
        <v>343</v>
      </c>
      <c r="B26" s="45" t="s">
        <v>344</v>
      </c>
      <c r="C26" s="46" t="s">
        <v>293</v>
      </c>
      <c r="D26" s="47">
        <v>10</v>
      </c>
      <c r="E26" s="48">
        <f>WORKDAY(F5,1)</f>
        <v>46335</v>
      </c>
      <c r="F26" s="48">
        <f t="shared" si="4"/>
        <v>46346</v>
      </c>
      <c r="G26" s="49"/>
      <c r="H26" s="49"/>
      <c r="I26" s="49"/>
      <c r="J26" s="49"/>
      <c r="K26" s="49"/>
      <c r="L26" s="50"/>
      <c r="M26" s="50"/>
      <c r="N26" s="49"/>
      <c r="O26" s="49"/>
      <c r="P26" s="49"/>
      <c r="Q26" s="49"/>
      <c r="R26" s="49"/>
      <c r="S26" s="50"/>
      <c r="T26" s="50"/>
      <c r="U26" s="49"/>
      <c r="V26" s="49"/>
      <c r="W26" s="49"/>
      <c r="X26" s="49"/>
      <c r="Y26" s="49"/>
      <c r="Z26" s="50"/>
      <c r="AA26" s="50"/>
      <c r="AB26" s="49"/>
      <c r="AC26" s="49"/>
      <c r="AD26" s="49"/>
      <c r="AE26" s="49"/>
      <c r="AF26" s="49"/>
      <c r="AG26" s="50"/>
      <c r="AH26" s="50"/>
      <c r="AI26" s="49"/>
      <c r="AJ26" s="49"/>
      <c r="AK26" s="49"/>
      <c r="AL26" s="49"/>
      <c r="AM26" s="49"/>
      <c r="AN26" s="50"/>
      <c r="AO26" s="50"/>
      <c r="AP26" s="49"/>
      <c r="AQ26" s="49"/>
      <c r="AR26" s="49"/>
      <c r="AS26" s="49"/>
      <c r="AT26" s="49"/>
      <c r="AU26" s="50"/>
      <c r="AV26" s="50"/>
      <c r="AW26" s="49"/>
      <c r="AX26" s="49"/>
      <c r="AY26" s="49"/>
      <c r="AZ26" s="49"/>
      <c r="BA26" s="49"/>
      <c r="BB26" s="50"/>
      <c r="BC26" s="50"/>
      <c r="BD26" s="49"/>
      <c r="BE26" s="49"/>
      <c r="BF26" s="49"/>
      <c r="BG26" s="49"/>
      <c r="BH26" s="49"/>
      <c r="BI26" s="50"/>
      <c r="BJ26" s="50"/>
      <c r="BK26" s="49"/>
      <c r="BL26" s="49"/>
      <c r="BM26" s="49"/>
      <c r="BN26" s="49"/>
      <c r="BO26" s="49"/>
      <c r="BP26" s="50"/>
      <c r="BQ26" s="50"/>
      <c r="BR26" s="49"/>
      <c r="BS26" s="49"/>
      <c r="BT26" s="49"/>
      <c r="BU26" s="49"/>
      <c r="BV26" s="49"/>
      <c r="BW26" s="50"/>
      <c r="BX26" s="50"/>
      <c r="BY26" s="49"/>
      <c r="BZ26" s="49"/>
      <c r="CA26" s="49"/>
      <c r="CB26" s="49"/>
      <c r="CC26" s="49"/>
      <c r="CD26" s="50"/>
      <c r="CE26" s="50"/>
      <c r="CF26" s="49"/>
      <c r="CG26" s="49"/>
      <c r="CH26" s="49"/>
      <c r="CI26" s="49"/>
      <c r="CJ26" s="49"/>
      <c r="CK26" s="50"/>
      <c r="CL26" s="50"/>
      <c r="CM26" s="49"/>
      <c r="CN26" s="49"/>
      <c r="CO26" s="49"/>
      <c r="CP26" s="49"/>
      <c r="CQ26" s="49"/>
      <c r="CR26" s="50"/>
      <c r="CS26" s="50"/>
      <c r="CT26" s="49"/>
      <c r="CU26" s="49"/>
      <c r="CV26" s="49"/>
      <c r="CW26" s="49"/>
      <c r="CX26" s="49"/>
      <c r="CY26" s="50"/>
      <c r="CZ26" s="50"/>
      <c r="DA26" s="49"/>
      <c r="DB26" s="49"/>
      <c r="DC26" s="49"/>
      <c r="DD26" s="49"/>
      <c r="DE26" s="49"/>
      <c r="DF26" s="50"/>
      <c r="DG26" s="50"/>
      <c r="DH26" s="49"/>
      <c r="DI26" s="49"/>
      <c r="DJ26" s="49"/>
      <c r="DK26" s="49"/>
      <c r="DL26" s="49"/>
      <c r="DM26" s="50"/>
      <c r="DN26" s="50"/>
    </row>
    <row r="27" spans="1:118" ht="15.75" customHeight="1" x14ac:dyDescent="0.35">
      <c r="A27" s="56" t="s">
        <v>345</v>
      </c>
      <c r="B27" s="57" t="s">
        <v>346</v>
      </c>
      <c r="C27" s="53" t="s">
        <v>342</v>
      </c>
      <c r="D27" s="58">
        <v>0</v>
      </c>
      <c r="E27" s="59">
        <f>F26</f>
        <v>46346</v>
      </c>
      <c r="F27" s="59">
        <f t="shared" si="4"/>
        <v>46346</v>
      </c>
      <c r="G27" s="49"/>
      <c r="H27" s="49"/>
      <c r="I27" s="49"/>
      <c r="J27" s="49"/>
      <c r="K27" s="49"/>
      <c r="L27" s="50"/>
      <c r="M27" s="50"/>
      <c r="N27" s="49"/>
      <c r="O27" s="49"/>
      <c r="P27" s="49"/>
      <c r="Q27" s="49"/>
      <c r="R27" s="49"/>
      <c r="S27" s="50"/>
      <c r="T27" s="50"/>
      <c r="U27" s="49"/>
      <c r="V27" s="49"/>
      <c r="W27" s="49"/>
      <c r="X27" s="49"/>
      <c r="Y27" s="49"/>
      <c r="Z27" s="50"/>
      <c r="AA27" s="50"/>
      <c r="AB27" s="49"/>
      <c r="AC27" s="49"/>
      <c r="AD27" s="49"/>
      <c r="AE27" s="49"/>
      <c r="AF27" s="49"/>
      <c r="AG27" s="50"/>
      <c r="AH27" s="50"/>
      <c r="AI27" s="49"/>
      <c r="AJ27" s="49"/>
      <c r="AK27" s="49"/>
      <c r="AL27" s="49"/>
      <c r="AM27" s="49"/>
      <c r="AN27" s="50"/>
      <c r="AO27" s="50"/>
      <c r="AP27" s="49"/>
      <c r="AQ27" s="49"/>
      <c r="AR27" s="49"/>
      <c r="AS27" s="49"/>
      <c r="AT27" s="49"/>
      <c r="AU27" s="50"/>
      <c r="AV27" s="50"/>
      <c r="AW27" s="49"/>
      <c r="AX27" s="49"/>
      <c r="AY27" s="49"/>
      <c r="AZ27" s="49"/>
      <c r="BA27" s="49"/>
      <c r="BB27" s="50"/>
      <c r="BC27" s="50"/>
      <c r="BD27" s="49"/>
      <c r="BE27" s="49"/>
      <c r="BF27" s="49"/>
      <c r="BG27" s="49"/>
      <c r="BH27" s="49"/>
      <c r="BI27" s="50"/>
      <c r="BJ27" s="50"/>
      <c r="BK27" s="49"/>
      <c r="BL27" s="49"/>
      <c r="BM27" s="49"/>
      <c r="BN27" s="49"/>
      <c r="BO27" s="49"/>
      <c r="BP27" s="50"/>
      <c r="BQ27" s="50"/>
      <c r="BR27" s="49"/>
      <c r="BS27" s="49"/>
      <c r="BT27" s="49"/>
      <c r="BU27" s="49"/>
      <c r="BV27" s="49"/>
      <c r="BW27" s="50"/>
      <c r="BX27" s="50"/>
      <c r="BY27" s="49"/>
      <c r="BZ27" s="49"/>
      <c r="CA27" s="49"/>
      <c r="CB27" s="49"/>
      <c r="CC27" s="49"/>
      <c r="CD27" s="50"/>
      <c r="CE27" s="50"/>
      <c r="CF27" s="49"/>
      <c r="CG27" s="49"/>
      <c r="CH27" s="49"/>
      <c r="CI27" s="49"/>
      <c r="CJ27" s="49"/>
      <c r="CK27" s="50"/>
      <c r="CL27" s="50"/>
      <c r="CM27" s="49"/>
      <c r="CN27" s="49"/>
      <c r="CO27" s="49"/>
      <c r="CP27" s="49"/>
      <c r="CQ27" s="49"/>
      <c r="CR27" s="50"/>
      <c r="CS27" s="50"/>
      <c r="CT27" s="49"/>
      <c r="CU27" s="49"/>
      <c r="CV27" s="49"/>
      <c r="CW27" s="49"/>
      <c r="CX27" s="49"/>
      <c r="CY27" s="50"/>
      <c r="CZ27" s="50"/>
      <c r="DA27" s="49"/>
      <c r="DB27" s="49"/>
      <c r="DC27" s="49"/>
      <c r="DD27" s="49"/>
      <c r="DE27" s="49"/>
      <c r="DF27" s="50"/>
      <c r="DG27" s="50"/>
      <c r="DH27" s="49"/>
      <c r="DI27" s="49"/>
      <c r="DJ27" s="49"/>
      <c r="DK27" s="49"/>
      <c r="DL27" s="49"/>
      <c r="DM27" s="50"/>
      <c r="DN27" s="50"/>
    </row>
    <row r="28" spans="1:118" ht="15.75" customHeight="1" x14ac:dyDescent="0.35">
      <c r="A28" s="44" t="s">
        <v>347</v>
      </c>
      <c r="B28" s="45" t="s">
        <v>348</v>
      </c>
      <c r="C28" s="46" t="s">
        <v>293</v>
      </c>
      <c r="D28" s="47">
        <v>30</v>
      </c>
      <c r="E28" s="48">
        <f>WORKDAY(F26,1)</f>
        <v>46349</v>
      </c>
      <c r="F28" s="48">
        <f t="shared" si="4"/>
        <v>46388</v>
      </c>
      <c r="G28" s="49"/>
      <c r="H28" s="49"/>
      <c r="I28" s="49"/>
      <c r="J28" s="49"/>
      <c r="K28" s="49"/>
      <c r="L28" s="50"/>
      <c r="M28" s="50"/>
      <c r="N28" s="49"/>
      <c r="O28" s="49"/>
      <c r="P28" s="49"/>
      <c r="Q28" s="49"/>
      <c r="R28" s="49"/>
      <c r="S28" s="50"/>
      <c r="T28" s="50"/>
      <c r="U28" s="49"/>
      <c r="V28" s="49"/>
      <c r="W28" s="49"/>
      <c r="X28" s="49"/>
      <c r="Y28" s="49"/>
      <c r="Z28" s="50"/>
      <c r="AA28" s="50"/>
      <c r="AB28" s="49"/>
      <c r="AC28" s="49"/>
      <c r="AD28" s="49"/>
      <c r="AE28" s="49"/>
      <c r="AF28" s="49"/>
      <c r="AG28" s="50"/>
      <c r="AH28" s="50"/>
      <c r="AI28" s="49"/>
      <c r="AJ28" s="49"/>
      <c r="AK28" s="49"/>
      <c r="AL28" s="49"/>
      <c r="AM28" s="49"/>
      <c r="AN28" s="50"/>
      <c r="AO28" s="50"/>
      <c r="AP28" s="49"/>
      <c r="AQ28" s="49"/>
      <c r="AR28" s="49"/>
      <c r="AS28" s="49"/>
      <c r="AT28" s="49"/>
      <c r="AU28" s="50"/>
      <c r="AV28" s="50"/>
      <c r="AW28" s="49"/>
      <c r="AX28" s="49"/>
      <c r="AY28" s="49"/>
      <c r="AZ28" s="49"/>
      <c r="BA28" s="49"/>
      <c r="BB28" s="50"/>
      <c r="BC28" s="50"/>
      <c r="BD28" s="49"/>
      <c r="BE28" s="49"/>
      <c r="BF28" s="49"/>
      <c r="BG28" s="49"/>
      <c r="BH28" s="49"/>
      <c r="BI28" s="50"/>
      <c r="BJ28" s="50"/>
      <c r="BK28" s="49"/>
      <c r="BL28" s="49"/>
      <c r="BM28" s="49"/>
      <c r="BN28" s="49"/>
      <c r="BO28" s="49"/>
      <c r="BP28" s="50"/>
      <c r="BQ28" s="50"/>
      <c r="BR28" s="49"/>
      <c r="BS28" s="49"/>
      <c r="BT28" s="49"/>
      <c r="BU28" s="49"/>
      <c r="BV28" s="49"/>
      <c r="BW28" s="50"/>
      <c r="BX28" s="50"/>
      <c r="BY28" s="49"/>
      <c r="BZ28" s="49"/>
      <c r="CA28" s="49"/>
      <c r="CB28" s="49"/>
      <c r="CC28" s="49"/>
      <c r="CD28" s="50"/>
      <c r="CE28" s="50"/>
      <c r="CF28" s="49"/>
      <c r="CG28" s="49"/>
      <c r="CH28" s="49"/>
      <c r="CI28" s="49"/>
      <c r="CJ28" s="49"/>
      <c r="CK28" s="50"/>
      <c r="CL28" s="50"/>
      <c r="CM28" s="49"/>
      <c r="CN28" s="49"/>
      <c r="CO28" s="49"/>
      <c r="CP28" s="49"/>
      <c r="CQ28" s="49"/>
      <c r="CR28" s="50"/>
      <c r="CS28" s="50"/>
      <c r="CT28" s="49"/>
      <c r="CU28" s="49"/>
      <c r="CV28" s="49"/>
      <c r="CW28" s="49"/>
      <c r="CX28" s="49"/>
      <c r="CY28" s="50"/>
      <c r="CZ28" s="50"/>
      <c r="DA28" s="49"/>
      <c r="DB28" s="49"/>
      <c r="DC28" s="49"/>
      <c r="DD28" s="49"/>
      <c r="DE28" s="49"/>
      <c r="DF28" s="50"/>
      <c r="DG28" s="50"/>
      <c r="DH28" s="49"/>
      <c r="DI28" s="49"/>
      <c r="DJ28" s="49"/>
      <c r="DK28" s="49"/>
      <c r="DL28" s="49"/>
      <c r="DM28" s="50"/>
      <c r="DN28" s="50"/>
    </row>
    <row r="29" spans="1:118" ht="15.75" customHeight="1" x14ac:dyDescent="0.35">
      <c r="A29" s="56" t="s">
        <v>349</v>
      </c>
      <c r="B29" s="57" t="s">
        <v>350</v>
      </c>
      <c r="C29" s="53" t="s">
        <v>342</v>
      </c>
      <c r="D29" s="58">
        <v>0</v>
      </c>
      <c r="E29" s="59">
        <f>F28</f>
        <v>46388</v>
      </c>
      <c r="F29" s="59">
        <f t="shared" si="4"/>
        <v>46388</v>
      </c>
      <c r="G29" s="49"/>
      <c r="H29" s="49"/>
      <c r="I29" s="49"/>
      <c r="J29" s="49"/>
      <c r="K29" s="49"/>
      <c r="L29" s="50"/>
      <c r="M29" s="50"/>
      <c r="N29" s="49"/>
      <c r="O29" s="49"/>
      <c r="P29" s="49"/>
      <c r="Q29" s="49"/>
      <c r="R29" s="49"/>
      <c r="S29" s="50"/>
      <c r="T29" s="50"/>
      <c r="U29" s="49"/>
      <c r="V29" s="49"/>
      <c r="W29" s="49"/>
      <c r="X29" s="49"/>
      <c r="Y29" s="49"/>
      <c r="Z29" s="50"/>
      <c r="AA29" s="50"/>
      <c r="AB29" s="49"/>
      <c r="AC29" s="49"/>
      <c r="AD29" s="49"/>
      <c r="AE29" s="49"/>
      <c r="AF29" s="49"/>
      <c r="AG29" s="50"/>
      <c r="AH29" s="50"/>
      <c r="AI29" s="49"/>
      <c r="AJ29" s="49"/>
      <c r="AK29" s="49"/>
      <c r="AL29" s="49"/>
      <c r="AM29" s="49"/>
      <c r="AN29" s="50"/>
      <c r="AO29" s="50"/>
      <c r="AP29" s="49"/>
      <c r="AQ29" s="49"/>
      <c r="AR29" s="49"/>
      <c r="AS29" s="49"/>
      <c r="AT29" s="49"/>
      <c r="AU29" s="50"/>
      <c r="AV29" s="50"/>
      <c r="AW29" s="49"/>
      <c r="AX29" s="49"/>
      <c r="AY29" s="49"/>
      <c r="AZ29" s="49"/>
      <c r="BA29" s="49"/>
      <c r="BB29" s="50"/>
      <c r="BC29" s="50"/>
      <c r="BD29" s="49"/>
      <c r="BE29" s="49"/>
      <c r="BF29" s="49"/>
      <c r="BG29" s="49"/>
      <c r="BH29" s="49"/>
      <c r="BI29" s="50"/>
      <c r="BJ29" s="50"/>
      <c r="BK29" s="49"/>
      <c r="BL29" s="49"/>
      <c r="BM29" s="49"/>
      <c r="BN29" s="49"/>
      <c r="BO29" s="49"/>
      <c r="BP29" s="50"/>
      <c r="BQ29" s="50"/>
      <c r="BR29" s="49"/>
      <c r="BS29" s="49"/>
      <c r="BT29" s="49"/>
      <c r="BU29" s="49"/>
      <c r="BV29" s="49"/>
      <c r="BW29" s="50"/>
      <c r="BX29" s="50"/>
      <c r="BY29" s="49"/>
      <c r="BZ29" s="49"/>
      <c r="CA29" s="49"/>
      <c r="CB29" s="49"/>
      <c r="CC29" s="49"/>
      <c r="CD29" s="50"/>
      <c r="CE29" s="50"/>
      <c r="CF29" s="49"/>
      <c r="CG29" s="49"/>
      <c r="CH29" s="49"/>
      <c r="CI29" s="49"/>
      <c r="CJ29" s="49"/>
      <c r="CK29" s="50"/>
      <c r="CL29" s="50"/>
      <c r="CM29" s="49"/>
      <c r="CN29" s="49"/>
      <c r="CO29" s="49"/>
      <c r="CP29" s="49"/>
      <c r="CQ29" s="49"/>
      <c r="CR29" s="50"/>
      <c r="CS29" s="50"/>
      <c r="CT29" s="49"/>
      <c r="CU29" s="49"/>
      <c r="CV29" s="49"/>
      <c r="CW29" s="49"/>
      <c r="CX29" s="49"/>
      <c r="CY29" s="50"/>
      <c r="CZ29" s="50"/>
      <c r="DA29" s="49"/>
      <c r="DB29" s="49"/>
      <c r="DC29" s="49"/>
      <c r="DD29" s="49"/>
      <c r="DE29" s="49"/>
      <c r="DF29" s="50"/>
      <c r="DG29" s="50"/>
      <c r="DH29" s="49"/>
      <c r="DI29" s="49"/>
      <c r="DJ29" s="49"/>
      <c r="DK29" s="49"/>
      <c r="DL29" s="49"/>
      <c r="DM29" s="50"/>
      <c r="DN29" s="50"/>
    </row>
    <row r="30" spans="1:118" ht="15.75" customHeight="1" x14ac:dyDescent="0.35">
      <c r="A30" s="44" t="s">
        <v>351</v>
      </c>
      <c r="B30" s="45" t="s">
        <v>352</v>
      </c>
      <c r="C30" s="46" t="s">
        <v>293</v>
      </c>
      <c r="D30" s="47">
        <v>20</v>
      </c>
      <c r="E30" s="48">
        <f>WORKDAY(F28,1)</f>
        <v>46391</v>
      </c>
      <c r="F30" s="48">
        <f t="shared" si="4"/>
        <v>46416</v>
      </c>
      <c r="G30" s="49"/>
      <c r="H30" s="49"/>
      <c r="I30" s="49"/>
      <c r="J30" s="49"/>
      <c r="K30" s="49"/>
      <c r="L30" s="50"/>
      <c r="M30" s="50"/>
      <c r="N30" s="49"/>
      <c r="O30" s="49"/>
      <c r="P30" s="49"/>
      <c r="Q30" s="49"/>
      <c r="R30" s="49"/>
      <c r="S30" s="50"/>
      <c r="T30" s="50"/>
      <c r="U30" s="49"/>
      <c r="V30" s="49"/>
      <c r="W30" s="49"/>
      <c r="X30" s="49"/>
      <c r="Y30" s="49"/>
      <c r="Z30" s="50"/>
      <c r="AA30" s="50"/>
      <c r="AB30" s="49"/>
      <c r="AC30" s="49"/>
      <c r="AD30" s="49"/>
      <c r="AE30" s="49"/>
      <c r="AF30" s="49"/>
      <c r="AG30" s="50"/>
      <c r="AH30" s="50"/>
      <c r="AI30" s="49"/>
      <c r="AJ30" s="49"/>
      <c r="AK30" s="49"/>
      <c r="AL30" s="49"/>
      <c r="AM30" s="49"/>
      <c r="AN30" s="50"/>
      <c r="AO30" s="50"/>
      <c r="AP30" s="49"/>
      <c r="AQ30" s="49"/>
      <c r="AR30" s="49"/>
      <c r="AS30" s="49"/>
      <c r="AT30" s="49"/>
      <c r="AU30" s="50"/>
      <c r="AV30" s="50"/>
      <c r="AW30" s="49"/>
      <c r="AX30" s="49"/>
      <c r="AY30" s="49"/>
      <c r="AZ30" s="49"/>
      <c r="BA30" s="49"/>
      <c r="BB30" s="50"/>
      <c r="BC30" s="50"/>
      <c r="BD30" s="49"/>
      <c r="BE30" s="49"/>
      <c r="BF30" s="49"/>
      <c r="BG30" s="49"/>
      <c r="BH30" s="49"/>
      <c r="BI30" s="50"/>
      <c r="BJ30" s="50"/>
      <c r="BK30" s="49"/>
      <c r="BL30" s="49"/>
      <c r="BM30" s="49"/>
      <c r="BN30" s="49"/>
      <c r="BO30" s="49"/>
      <c r="BP30" s="50"/>
      <c r="BQ30" s="50"/>
      <c r="BR30" s="49"/>
      <c r="BS30" s="49"/>
      <c r="BT30" s="49"/>
      <c r="BU30" s="49"/>
      <c r="BV30" s="49"/>
      <c r="BW30" s="50"/>
      <c r="BX30" s="50"/>
      <c r="BY30" s="49"/>
      <c r="BZ30" s="49"/>
      <c r="CA30" s="49"/>
      <c r="CB30" s="49"/>
      <c r="CC30" s="49"/>
      <c r="CD30" s="50"/>
      <c r="CE30" s="50"/>
      <c r="CF30" s="49"/>
      <c r="CG30" s="49"/>
      <c r="CH30" s="49"/>
      <c r="CI30" s="49"/>
      <c r="CJ30" s="49"/>
      <c r="CK30" s="50"/>
      <c r="CL30" s="50"/>
      <c r="CM30" s="49"/>
      <c r="CN30" s="49"/>
      <c r="CO30" s="49"/>
      <c r="CP30" s="49"/>
      <c r="CQ30" s="49"/>
      <c r="CR30" s="50"/>
      <c r="CS30" s="50"/>
      <c r="CT30" s="49"/>
      <c r="CU30" s="49"/>
      <c r="CV30" s="49"/>
      <c r="CW30" s="49"/>
      <c r="CX30" s="49"/>
      <c r="CY30" s="50"/>
      <c r="CZ30" s="50"/>
      <c r="DA30" s="49"/>
      <c r="DB30" s="49"/>
      <c r="DC30" s="49"/>
      <c r="DD30" s="49"/>
      <c r="DE30" s="49"/>
      <c r="DF30" s="50"/>
      <c r="DG30" s="50"/>
      <c r="DH30" s="49"/>
      <c r="DI30" s="49"/>
      <c r="DJ30" s="49"/>
      <c r="DK30" s="49"/>
      <c r="DL30" s="49"/>
      <c r="DM30" s="50"/>
      <c r="DN30" s="50"/>
    </row>
    <row r="31" spans="1:118" ht="15.75" customHeight="1" x14ac:dyDescent="0.35">
      <c r="A31" s="56" t="s">
        <v>353</v>
      </c>
      <c r="B31" s="57" t="s">
        <v>354</v>
      </c>
      <c r="C31" s="53" t="s">
        <v>342</v>
      </c>
      <c r="D31" s="58">
        <v>0</v>
      </c>
      <c r="E31" s="59">
        <f>F30</f>
        <v>46416</v>
      </c>
      <c r="F31" s="59">
        <f t="shared" si="4"/>
        <v>46416</v>
      </c>
      <c r="G31" s="49"/>
      <c r="H31" s="49"/>
      <c r="I31" s="49"/>
      <c r="J31" s="49"/>
      <c r="K31" s="49"/>
      <c r="L31" s="50"/>
      <c r="M31" s="50"/>
      <c r="N31" s="49"/>
      <c r="O31" s="49"/>
      <c r="P31" s="49"/>
      <c r="Q31" s="49"/>
      <c r="R31" s="49"/>
      <c r="S31" s="50"/>
      <c r="T31" s="50"/>
      <c r="U31" s="49"/>
      <c r="V31" s="49"/>
      <c r="W31" s="49"/>
      <c r="X31" s="49"/>
      <c r="Y31" s="49"/>
      <c r="Z31" s="50"/>
      <c r="AA31" s="50"/>
      <c r="AB31" s="49"/>
      <c r="AC31" s="49"/>
      <c r="AD31" s="49"/>
      <c r="AE31" s="49"/>
      <c r="AF31" s="49"/>
      <c r="AG31" s="50"/>
      <c r="AH31" s="50"/>
      <c r="AI31" s="49"/>
      <c r="AJ31" s="49"/>
      <c r="AK31" s="49"/>
      <c r="AL31" s="49"/>
      <c r="AM31" s="49"/>
      <c r="AN31" s="50"/>
      <c r="AO31" s="50"/>
      <c r="AP31" s="49"/>
      <c r="AQ31" s="49"/>
      <c r="AR31" s="49"/>
      <c r="AS31" s="49"/>
      <c r="AT31" s="49"/>
      <c r="AU31" s="50"/>
      <c r="AV31" s="50"/>
      <c r="AW31" s="49"/>
      <c r="AX31" s="49"/>
      <c r="AY31" s="49"/>
      <c r="AZ31" s="49"/>
      <c r="BA31" s="49"/>
      <c r="BB31" s="50"/>
      <c r="BC31" s="50"/>
      <c r="BD31" s="49"/>
      <c r="BE31" s="49"/>
      <c r="BF31" s="49"/>
      <c r="BG31" s="49"/>
      <c r="BH31" s="49"/>
      <c r="BI31" s="50"/>
      <c r="BJ31" s="50"/>
      <c r="BK31" s="49"/>
      <c r="BL31" s="49"/>
      <c r="BM31" s="49"/>
      <c r="BN31" s="49"/>
      <c r="BO31" s="49"/>
      <c r="BP31" s="50"/>
      <c r="BQ31" s="50"/>
      <c r="BR31" s="49"/>
      <c r="BS31" s="49"/>
      <c r="BT31" s="49"/>
      <c r="BU31" s="49"/>
      <c r="BV31" s="49"/>
      <c r="BW31" s="50"/>
      <c r="BX31" s="50"/>
      <c r="BY31" s="49"/>
      <c r="BZ31" s="49"/>
      <c r="CA31" s="49"/>
      <c r="CB31" s="49"/>
      <c r="CC31" s="49"/>
      <c r="CD31" s="50"/>
      <c r="CE31" s="50"/>
      <c r="CF31" s="49"/>
      <c r="CG31" s="49"/>
      <c r="CH31" s="49"/>
      <c r="CI31" s="49"/>
      <c r="CJ31" s="49"/>
      <c r="CK31" s="50"/>
      <c r="CL31" s="50"/>
      <c r="CM31" s="49"/>
      <c r="CN31" s="49"/>
      <c r="CO31" s="49"/>
      <c r="CP31" s="49"/>
      <c r="CQ31" s="49"/>
      <c r="CR31" s="50"/>
      <c r="CS31" s="50"/>
      <c r="CT31" s="49"/>
      <c r="CU31" s="49"/>
      <c r="CV31" s="49"/>
      <c r="CW31" s="49"/>
      <c r="CX31" s="49"/>
      <c r="CY31" s="50"/>
      <c r="CZ31" s="50"/>
      <c r="DA31" s="49"/>
      <c r="DB31" s="49"/>
      <c r="DC31" s="49"/>
      <c r="DD31" s="49"/>
      <c r="DE31" s="49"/>
      <c r="DF31" s="50"/>
      <c r="DG31" s="50"/>
      <c r="DH31" s="49"/>
      <c r="DI31" s="49"/>
      <c r="DJ31" s="49"/>
      <c r="DK31" s="49"/>
      <c r="DL31" s="49"/>
      <c r="DM31" s="50"/>
      <c r="DN31" s="50"/>
    </row>
    <row r="32" spans="1:118" ht="15.75" customHeight="1" x14ac:dyDescent="0.35">
      <c r="A32" s="44" t="s">
        <v>355</v>
      </c>
      <c r="B32" s="45" t="s">
        <v>356</v>
      </c>
      <c r="C32" s="46" t="s">
        <v>357</v>
      </c>
      <c r="D32" s="47">
        <v>1</v>
      </c>
      <c r="E32" s="48">
        <f>WORKDAY(F30,1)</f>
        <v>46419</v>
      </c>
      <c r="F32" s="48">
        <f t="shared" si="4"/>
        <v>46419</v>
      </c>
      <c r="G32" s="49"/>
      <c r="H32" s="49"/>
      <c r="I32" s="49"/>
      <c r="J32" s="49"/>
      <c r="K32" s="49"/>
      <c r="L32" s="50"/>
      <c r="M32" s="50"/>
      <c r="N32" s="49"/>
      <c r="O32" s="49"/>
      <c r="P32" s="49"/>
      <c r="Q32" s="49"/>
      <c r="R32" s="49"/>
      <c r="S32" s="50"/>
      <c r="T32" s="50"/>
      <c r="U32" s="49"/>
      <c r="V32" s="49"/>
      <c r="W32" s="49"/>
      <c r="X32" s="49"/>
      <c r="Y32" s="49"/>
      <c r="Z32" s="50"/>
      <c r="AA32" s="50"/>
      <c r="AB32" s="49"/>
      <c r="AC32" s="49"/>
      <c r="AD32" s="49"/>
      <c r="AE32" s="49"/>
      <c r="AF32" s="49"/>
      <c r="AG32" s="50"/>
      <c r="AH32" s="50"/>
      <c r="AI32" s="49"/>
      <c r="AJ32" s="49"/>
      <c r="AK32" s="49"/>
      <c r="AL32" s="49"/>
      <c r="AM32" s="49"/>
      <c r="AN32" s="50"/>
      <c r="AO32" s="50"/>
      <c r="AP32" s="49"/>
      <c r="AQ32" s="49"/>
      <c r="AR32" s="49"/>
      <c r="AS32" s="49"/>
      <c r="AT32" s="49"/>
      <c r="AU32" s="50"/>
      <c r="AV32" s="50"/>
      <c r="AW32" s="49"/>
      <c r="AX32" s="49"/>
      <c r="AY32" s="49"/>
      <c r="AZ32" s="49"/>
      <c r="BA32" s="49"/>
      <c r="BB32" s="50"/>
      <c r="BC32" s="50"/>
      <c r="BD32" s="49"/>
      <c r="BE32" s="49"/>
      <c r="BF32" s="49"/>
      <c r="BG32" s="49"/>
      <c r="BH32" s="49"/>
      <c r="BI32" s="50"/>
      <c r="BJ32" s="50"/>
      <c r="BK32" s="49"/>
      <c r="BL32" s="49"/>
      <c r="BM32" s="49"/>
      <c r="BN32" s="49"/>
      <c r="BO32" s="49"/>
      <c r="BP32" s="50"/>
      <c r="BQ32" s="50"/>
      <c r="BR32" s="49"/>
      <c r="BS32" s="49"/>
      <c r="BT32" s="49"/>
      <c r="BU32" s="49"/>
      <c r="BV32" s="49"/>
      <c r="BW32" s="50"/>
      <c r="BX32" s="50"/>
      <c r="BY32" s="49"/>
      <c r="BZ32" s="49"/>
      <c r="CA32" s="49"/>
      <c r="CB32" s="49"/>
      <c r="CC32" s="49"/>
      <c r="CD32" s="50"/>
      <c r="CE32" s="50"/>
      <c r="CF32" s="49"/>
      <c r="CG32" s="49"/>
      <c r="CH32" s="49"/>
      <c r="CI32" s="49"/>
      <c r="CJ32" s="49"/>
      <c r="CK32" s="50"/>
      <c r="CL32" s="50"/>
      <c r="CM32" s="49"/>
      <c r="CN32" s="49"/>
      <c r="CO32" s="49"/>
      <c r="CP32" s="49"/>
      <c r="CQ32" s="49"/>
      <c r="CR32" s="50"/>
      <c r="CS32" s="50"/>
      <c r="CT32" s="49"/>
      <c r="CU32" s="49"/>
      <c r="CV32" s="49"/>
      <c r="CW32" s="49"/>
      <c r="CX32" s="49"/>
      <c r="CY32" s="50"/>
      <c r="CZ32" s="50"/>
      <c r="DA32" s="49"/>
      <c r="DB32" s="49"/>
      <c r="DC32" s="49"/>
      <c r="DD32" s="49"/>
      <c r="DE32" s="49"/>
      <c r="DF32" s="50"/>
      <c r="DG32" s="50"/>
      <c r="DH32" s="49"/>
      <c r="DI32" s="49"/>
      <c r="DJ32" s="49"/>
      <c r="DK32" s="49"/>
      <c r="DL32" s="49"/>
      <c r="DM32" s="50"/>
      <c r="DN32" s="50"/>
    </row>
    <row r="33" spans="1:118" ht="15.75" customHeight="1" x14ac:dyDescent="0.35">
      <c r="A33" s="56" t="s">
        <v>358</v>
      </c>
      <c r="B33" s="57" t="s">
        <v>359</v>
      </c>
      <c r="C33" s="53" t="s">
        <v>360</v>
      </c>
      <c r="D33" s="58">
        <v>0</v>
      </c>
      <c r="E33" s="59">
        <f>F32</f>
        <v>46419</v>
      </c>
      <c r="F33" s="59">
        <f t="shared" si="4"/>
        <v>46419</v>
      </c>
      <c r="G33" s="49"/>
      <c r="H33" s="49"/>
      <c r="I33" s="49"/>
      <c r="J33" s="49"/>
      <c r="K33" s="49"/>
      <c r="L33" s="50"/>
      <c r="M33" s="50"/>
      <c r="N33" s="49"/>
      <c r="O33" s="49"/>
      <c r="P33" s="49"/>
      <c r="Q33" s="49"/>
      <c r="R33" s="49"/>
      <c r="S33" s="50"/>
      <c r="T33" s="50"/>
      <c r="U33" s="49"/>
      <c r="V33" s="49"/>
      <c r="W33" s="49"/>
      <c r="X33" s="49"/>
      <c r="Y33" s="49"/>
      <c r="Z33" s="50"/>
      <c r="AA33" s="50"/>
      <c r="AB33" s="49"/>
      <c r="AC33" s="49"/>
      <c r="AD33" s="49"/>
      <c r="AE33" s="49"/>
      <c r="AF33" s="49"/>
      <c r="AG33" s="50"/>
      <c r="AH33" s="50"/>
      <c r="AI33" s="49"/>
      <c r="AJ33" s="49"/>
      <c r="AK33" s="49"/>
      <c r="AL33" s="49"/>
      <c r="AM33" s="49"/>
      <c r="AN33" s="50"/>
      <c r="AO33" s="50"/>
      <c r="AP33" s="49"/>
      <c r="AQ33" s="49"/>
      <c r="AR33" s="49"/>
      <c r="AS33" s="49"/>
      <c r="AT33" s="49"/>
      <c r="AU33" s="50"/>
      <c r="AV33" s="50"/>
      <c r="AW33" s="49"/>
      <c r="AX33" s="49"/>
      <c r="AY33" s="49"/>
      <c r="AZ33" s="49"/>
      <c r="BA33" s="49"/>
      <c r="BB33" s="50"/>
      <c r="BC33" s="50"/>
      <c r="BD33" s="49"/>
      <c r="BE33" s="49"/>
      <c r="BF33" s="49"/>
      <c r="BG33" s="49"/>
      <c r="BH33" s="49"/>
      <c r="BI33" s="50"/>
      <c r="BJ33" s="50"/>
      <c r="BK33" s="49"/>
      <c r="BL33" s="49"/>
      <c r="BM33" s="49"/>
      <c r="BN33" s="49"/>
      <c r="BO33" s="49"/>
      <c r="BP33" s="50"/>
      <c r="BQ33" s="50"/>
      <c r="BR33" s="49"/>
      <c r="BS33" s="49"/>
      <c r="BT33" s="49"/>
      <c r="BU33" s="49"/>
      <c r="BV33" s="49"/>
      <c r="BW33" s="50"/>
      <c r="BX33" s="50"/>
      <c r="BY33" s="49"/>
      <c r="BZ33" s="49"/>
      <c r="CA33" s="49"/>
      <c r="CB33" s="49"/>
      <c r="CC33" s="49"/>
      <c r="CD33" s="50"/>
      <c r="CE33" s="50"/>
      <c r="CF33" s="49"/>
      <c r="CG33" s="49"/>
      <c r="CH33" s="49"/>
      <c r="CI33" s="49"/>
      <c r="CJ33" s="49"/>
      <c r="CK33" s="50"/>
      <c r="CL33" s="50"/>
      <c r="CM33" s="49"/>
      <c r="CN33" s="49"/>
      <c r="CO33" s="49"/>
      <c r="CP33" s="49"/>
      <c r="CQ33" s="49"/>
      <c r="CR33" s="50"/>
      <c r="CS33" s="50"/>
      <c r="CT33" s="49"/>
      <c r="CU33" s="49"/>
      <c r="CV33" s="49"/>
      <c r="CW33" s="49"/>
      <c r="CX33" s="49"/>
      <c r="CY33" s="50"/>
      <c r="CZ33" s="50"/>
      <c r="DA33" s="49"/>
      <c r="DB33" s="49"/>
      <c r="DC33" s="49"/>
      <c r="DD33" s="49"/>
      <c r="DE33" s="49"/>
      <c r="DF33" s="50"/>
      <c r="DG33" s="50"/>
      <c r="DH33" s="49"/>
      <c r="DI33" s="49"/>
      <c r="DJ33" s="49"/>
      <c r="DK33" s="49"/>
      <c r="DL33" s="49"/>
      <c r="DM33" s="50"/>
      <c r="DN33" s="50"/>
    </row>
    <row r="34" spans="1:118" ht="15.75" customHeight="1" x14ac:dyDescent="0.35"/>
    <row r="35" spans="1:118" ht="15.75" customHeight="1" x14ac:dyDescent="0.35">
      <c r="B35" s="60" t="s">
        <v>361</v>
      </c>
    </row>
    <row r="36" spans="1:118" ht="15.75" customHeight="1" x14ac:dyDescent="0.35">
      <c r="A36" s="61"/>
      <c r="B36" s="62" t="s">
        <v>362</v>
      </c>
    </row>
    <row r="37" spans="1:118" ht="15.75" customHeight="1" x14ac:dyDescent="0.35">
      <c r="A37" s="63"/>
      <c r="B37" s="62" t="s">
        <v>363</v>
      </c>
    </row>
    <row r="38" spans="1:118" ht="15.75" customHeight="1" x14ac:dyDescent="0.35">
      <c r="A38" s="64"/>
      <c r="B38" s="62" t="s">
        <v>364</v>
      </c>
    </row>
    <row r="39" spans="1:118" ht="15.75" customHeight="1" x14ac:dyDescent="0.35">
      <c r="A39" s="65"/>
      <c r="B39" s="62" t="s">
        <v>365</v>
      </c>
    </row>
    <row r="40" spans="1:118" ht="15.75" customHeight="1" x14ac:dyDescent="0.35">
      <c r="A40" s="66"/>
      <c r="B40" s="62" t="s">
        <v>366</v>
      </c>
    </row>
    <row r="41" spans="1:118" ht="15.75" customHeight="1" x14ac:dyDescent="0.35"/>
    <row r="42" spans="1:118" ht="15.75" customHeight="1" x14ac:dyDescent="0.35">
      <c r="B42" s="60" t="s">
        <v>367</v>
      </c>
    </row>
    <row r="43" spans="1:118" ht="15.75" customHeight="1" x14ac:dyDescent="0.35">
      <c r="B43" s="62" t="s">
        <v>368</v>
      </c>
    </row>
    <row r="44" spans="1:118" ht="15.75" customHeight="1" x14ac:dyDescent="0.35">
      <c r="B44" s="62" t="s">
        <v>369</v>
      </c>
    </row>
    <row r="45" spans="1:118" ht="15.75" customHeight="1" x14ac:dyDescent="0.35">
      <c r="B45" s="62" t="s">
        <v>370</v>
      </c>
    </row>
    <row r="46" spans="1:118" ht="15.75" customHeight="1" x14ac:dyDescent="0.35"/>
    <row r="47" spans="1:118" ht="15.75" customHeight="1" x14ac:dyDescent="0.35">
      <c r="B47" s="60"/>
    </row>
    <row r="48" spans="1:118" ht="15.75" customHeight="1" x14ac:dyDescent="0.35">
      <c r="B48" s="62"/>
    </row>
    <row r="49" spans="2:2" ht="15.75" customHeight="1" x14ac:dyDescent="0.35">
      <c r="B49" s="62"/>
    </row>
    <row r="50" spans="2:2" ht="15.75" customHeight="1" x14ac:dyDescent="0.35">
      <c r="B50" s="62"/>
    </row>
    <row r="51" spans="2:2" ht="15.75" customHeight="1" x14ac:dyDescent="0.35">
      <c r="B51" s="62"/>
    </row>
    <row r="52" spans="2:2" ht="15.75" customHeight="1" x14ac:dyDescent="0.35">
      <c r="B52" s="62"/>
    </row>
    <row r="53" spans="2:2" ht="15.75" customHeight="1" x14ac:dyDescent="0.35">
      <c r="B53" s="62"/>
    </row>
    <row r="54" spans="2:2" ht="15.75" customHeight="1" x14ac:dyDescent="0.35">
      <c r="B54" s="62"/>
    </row>
    <row r="55" spans="2:2" ht="15.75" customHeight="1" x14ac:dyDescent="0.35"/>
    <row r="56" spans="2:2" ht="15.75" customHeight="1" x14ac:dyDescent="0.35"/>
    <row r="57" spans="2:2" ht="15.75" customHeight="1" x14ac:dyDescent="0.35"/>
    <row r="58" spans="2:2" ht="15.75" customHeight="1" x14ac:dyDescent="0.35"/>
    <row r="59" spans="2:2" ht="15.75" customHeight="1" x14ac:dyDescent="0.35"/>
    <row r="60" spans="2:2" ht="15.75" customHeight="1" x14ac:dyDescent="0.35"/>
    <row r="61" spans="2:2" ht="15.75" customHeight="1" x14ac:dyDescent="0.35"/>
    <row r="62" spans="2:2" ht="15.75" customHeight="1" x14ac:dyDescent="0.35"/>
    <row r="63" spans="2:2" ht="15.75" customHeight="1" x14ac:dyDescent="0.35"/>
    <row r="64" spans="2: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9">
    <mergeCell ref="BY2:CL2"/>
    <mergeCell ref="CM2:CZ2"/>
    <mergeCell ref="DA2:DN2"/>
    <mergeCell ref="DO2:EB2"/>
    <mergeCell ref="G2:T2"/>
    <mergeCell ref="U2:AH2"/>
    <mergeCell ref="AI2:AV2"/>
    <mergeCell ref="AW2:BJ2"/>
    <mergeCell ref="BK2:BX2"/>
  </mergeCells>
  <conditionalFormatting sqref="G5:EB5">
    <cfRule type="expression" dxfId="16" priority="2">
      <formula>AND(G$1&gt;=$E5,G$1&lt;=$F5,WEEKDAY(G$1,2)&lt;6)</formula>
    </cfRule>
  </conditionalFormatting>
  <conditionalFormatting sqref="G5:EB33">
    <cfRule type="expression" dxfId="15" priority="15">
      <formula>WEEKDAY(G$1,2)&gt;5</formula>
    </cfRule>
  </conditionalFormatting>
  <conditionalFormatting sqref="G6:EB6">
    <cfRule type="expression" dxfId="14" priority="3">
      <formula>AND(G$1&gt;=$E6,G$1&lt;=$F6,WEEKDAY(G$1,2)&lt;6)</formula>
    </cfRule>
  </conditionalFormatting>
  <conditionalFormatting sqref="G7:EB13">
    <cfRule type="expression" dxfId="13" priority="4">
      <formula>AND(G$1&gt;=$E7,G$1&lt;=$F7,WEEKDAY(G$1,2)&lt;6)</formula>
    </cfRule>
  </conditionalFormatting>
  <conditionalFormatting sqref="G14:EB24">
    <cfRule type="expression" dxfId="12" priority="5">
      <formula>AND(G$1&gt;=$E14,G$1&lt;=$F14,WEEKDAY(G$1,2)&lt;6)</formula>
    </cfRule>
  </conditionalFormatting>
  <conditionalFormatting sqref="G25:EB25">
    <cfRule type="expression" dxfId="11" priority="6">
      <formula>G$1=$E25</formula>
    </cfRule>
  </conditionalFormatting>
  <conditionalFormatting sqref="G26:EB26">
    <cfRule type="expression" dxfId="10" priority="7">
      <formula>AND(G$1&gt;=$E26,G$1&lt;=$F26,WEEKDAY(G$1,2)&lt;6)</formula>
    </cfRule>
  </conditionalFormatting>
  <conditionalFormatting sqref="G27:EB27">
    <cfRule type="expression" dxfId="9" priority="8">
      <formula>G$1=$E27</formula>
    </cfRule>
  </conditionalFormatting>
  <conditionalFormatting sqref="G28:EB28">
    <cfRule type="expression" dxfId="8" priority="9">
      <formula>AND(G$1&gt;=$E28,G$1&lt;=$F28,WEEKDAY(G$1,2)&lt;6)</formula>
    </cfRule>
  </conditionalFormatting>
  <conditionalFormatting sqref="G29:EB29">
    <cfRule type="expression" dxfId="7" priority="10">
      <formula>G$1=$E29</formula>
    </cfRule>
  </conditionalFormatting>
  <conditionalFormatting sqref="G30:EB30">
    <cfRule type="expression" dxfId="6" priority="11">
      <formula>AND(G$1&gt;=$E30,G$1&lt;=$F30,WEEKDAY(G$1,2)&lt;6)</formula>
    </cfRule>
  </conditionalFormatting>
  <conditionalFormatting sqref="G31:EB31">
    <cfRule type="expression" dxfId="5" priority="12">
      <formula>G$1=$E31</formula>
    </cfRule>
  </conditionalFormatting>
  <conditionalFormatting sqref="G32:EB32">
    <cfRule type="expression" dxfId="4" priority="13">
      <formula>AND(G$1&gt;=$E32,G$1&lt;=$F32,WEEKDAY(G$1,2)&lt;6)</formula>
    </cfRule>
  </conditionalFormatting>
  <conditionalFormatting sqref="G33:EB33">
    <cfRule type="expression" dxfId="3" priority="14">
      <formula>G$1=$E33</formula>
    </cfRule>
  </conditionalFormatting>
  <pageMargins left="0.7" right="0.7" top="0.75" bottom="0.75"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00"/>
  <sheetViews>
    <sheetView topLeftCell="A6" zoomScaleNormal="100" workbookViewId="0">
      <pane ySplit="1" topLeftCell="A7" activePane="bottomLeft" state="frozen"/>
      <selection activeCell="A6" sqref="A6"/>
      <selection pane="bottomLeft" activeCell="F6" sqref="F6"/>
    </sheetView>
  </sheetViews>
  <sheetFormatPr defaultColWidth="12.6328125" defaultRowHeight="14.5" x14ac:dyDescent="0.35"/>
  <cols>
    <col min="1" max="1" width="15.08984375" customWidth="1"/>
    <col min="2" max="2" width="11.36328125" customWidth="1"/>
    <col min="3" max="3" width="60.90625" customWidth="1"/>
    <col min="4" max="5" width="26" customWidth="1"/>
    <col min="6" max="6" width="42" customWidth="1"/>
    <col min="7" max="7" width="40" customWidth="1"/>
  </cols>
  <sheetData>
    <row r="1" spans="1:7" ht="15.75" customHeight="1" x14ac:dyDescent="0.4">
      <c r="A1" s="67" t="s">
        <v>83</v>
      </c>
      <c r="B1" s="12" t="s">
        <v>84</v>
      </c>
      <c r="C1" s="12" t="s">
        <v>69</v>
      </c>
      <c r="D1" s="12" t="s">
        <v>371</v>
      </c>
      <c r="E1" s="12" t="s">
        <v>372</v>
      </c>
      <c r="F1" s="12" t="s">
        <v>373</v>
      </c>
      <c r="G1" s="12" t="s">
        <v>374</v>
      </c>
    </row>
    <row r="2" spans="1:7" ht="108.75" customHeight="1" x14ac:dyDescent="0.35">
      <c r="A2" s="3" t="s">
        <v>85</v>
      </c>
      <c r="B2" s="68" t="s">
        <v>86</v>
      </c>
      <c r="C2" s="68" t="s">
        <v>87</v>
      </c>
      <c r="D2" s="69" t="s">
        <v>375</v>
      </c>
      <c r="E2" s="69" t="s">
        <v>376</v>
      </c>
      <c r="F2" s="69" t="s">
        <v>377</v>
      </c>
      <c r="G2" s="69" t="s">
        <v>378</v>
      </c>
    </row>
    <row r="3" spans="1:7" ht="28.5" customHeight="1" x14ac:dyDescent="0.35">
      <c r="A3" s="3"/>
      <c r="B3" s="68" t="s">
        <v>88</v>
      </c>
      <c r="C3" s="68" t="s">
        <v>89</v>
      </c>
      <c r="D3" s="69" t="s">
        <v>379</v>
      </c>
      <c r="E3" s="69" t="s">
        <v>380</v>
      </c>
      <c r="F3" s="69" t="s">
        <v>381</v>
      </c>
      <c r="G3" s="69" t="s">
        <v>382</v>
      </c>
    </row>
    <row r="4" spans="1:7" ht="47.25" customHeight="1" x14ac:dyDescent="0.35">
      <c r="A4" s="3" t="s">
        <v>90</v>
      </c>
      <c r="B4" s="68" t="s">
        <v>91</v>
      </c>
      <c r="C4" s="68" t="s">
        <v>92</v>
      </c>
      <c r="D4" s="69" t="s">
        <v>383</v>
      </c>
      <c r="E4" s="69" t="s">
        <v>384</v>
      </c>
      <c r="F4" s="69" t="s">
        <v>385</v>
      </c>
      <c r="G4" s="69" t="s">
        <v>386</v>
      </c>
    </row>
    <row r="5" spans="1:7" ht="47.25" customHeight="1" x14ac:dyDescent="0.35">
      <c r="A5" s="3"/>
      <c r="B5" s="68" t="s">
        <v>93</v>
      </c>
      <c r="C5" s="68" t="s">
        <v>94</v>
      </c>
      <c r="D5" s="69" t="s">
        <v>383</v>
      </c>
      <c r="E5" s="69" t="s">
        <v>384</v>
      </c>
      <c r="F5" s="69" t="s">
        <v>387</v>
      </c>
      <c r="G5" s="69" t="s">
        <v>386</v>
      </c>
    </row>
    <row r="6" spans="1:7" ht="27.75" customHeight="1" x14ac:dyDescent="0.35">
      <c r="A6" s="3" t="s">
        <v>95</v>
      </c>
      <c r="B6" s="68" t="s">
        <v>96</v>
      </c>
      <c r="C6" s="68" t="s">
        <v>97</v>
      </c>
      <c r="D6" s="69" t="s">
        <v>388</v>
      </c>
      <c r="E6" s="69" t="s">
        <v>389</v>
      </c>
      <c r="F6" s="69" t="s">
        <v>390</v>
      </c>
      <c r="G6" s="69" t="s">
        <v>391</v>
      </c>
    </row>
    <row r="7" spans="1:7" ht="30.75" customHeight="1" x14ac:dyDescent="0.35">
      <c r="A7" s="3"/>
      <c r="B7" s="68" t="s">
        <v>98</v>
      </c>
      <c r="C7" s="68" t="s">
        <v>99</v>
      </c>
      <c r="D7" s="69" t="s">
        <v>388</v>
      </c>
      <c r="E7" s="69" t="s">
        <v>389</v>
      </c>
      <c r="F7" s="69" t="s">
        <v>392</v>
      </c>
      <c r="G7" s="69" t="s">
        <v>391</v>
      </c>
    </row>
    <row r="8" spans="1:7" ht="32.25" customHeight="1" x14ac:dyDescent="0.35">
      <c r="A8" s="3" t="s">
        <v>100</v>
      </c>
      <c r="B8" s="68" t="s">
        <v>101</v>
      </c>
      <c r="C8" s="68" t="s">
        <v>102</v>
      </c>
      <c r="D8" s="69" t="s">
        <v>393</v>
      </c>
      <c r="E8" s="69" t="s">
        <v>394</v>
      </c>
      <c r="F8" s="69" t="s">
        <v>395</v>
      </c>
      <c r="G8" s="69" t="s">
        <v>396</v>
      </c>
    </row>
    <row r="9" spans="1:7" ht="47.25" customHeight="1" x14ac:dyDescent="0.35">
      <c r="A9" s="3"/>
      <c r="B9" s="68" t="s">
        <v>103</v>
      </c>
      <c r="C9" s="68" t="s">
        <v>104</v>
      </c>
      <c r="D9" s="69" t="s">
        <v>393</v>
      </c>
      <c r="E9" s="69" t="s">
        <v>394</v>
      </c>
      <c r="F9" s="69" t="s">
        <v>397</v>
      </c>
      <c r="G9" s="69" t="s">
        <v>396</v>
      </c>
    </row>
    <row r="10" spans="1:7" ht="36.75" customHeight="1" x14ac:dyDescent="0.35">
      <c r="A10" s="3" t="s">
        <v>398</v>
      </c>
      <c r="B10" s="68" t="s">
        <v>106</v>
      </c>
      <c r="C10" s="68" t="s">
        <v>107</v>
      </c>
      <c r="D10" s="69" t="s">
        <v>399</v>
      </c>
      <c r="E10" s="69" t="s">
        <v>400</v>
      </c>
      <c r="F10" s="69" t="s">
        <v>236</v>
      </c>
      <c r="G10" s="69" t="s">
        <v>401</v>
      </c>
    </row>
    <row r="11" spans="1:7" ht="38.25" customHeight="1" x14ac:dyDescent="0.35">
      <c r="A11" s="3"/>
      <c r="B11" s="68" t="s">
        <v>108</v>
      </c>
      <c r="C11" s="68" t="s">
        <v>109</v>
      </c>
      <c r="D11" s="69" t="s">
        <v>399</v>
      </c>
      <c r="E11" s="69" t="s">
        <v>400</v>
      </c>
      <c r="F11" s="69" t="s">
        <v>238</v>
      </c>
      <c r="G11" s="69" t="s">
        <v>402</v>
      </c>
    </row>
    <row r="12" spans="1:7" ht="79.5" customHeight="1" x14ac:dyDescent="0.35">
      <c r="A12" s="2" t="s">
        <v>403</v>
      </c>
      <c r="B12" s="68" t="s">
        <v>111</v>
      </c>
      <c r="C12" s="68" t="s">
        <v>112</v>
      </c>
      <c r="D12" s="69" t="s">
        <v>404</v>
      </c>
      <c r="E12" s="69" t="s">
        <v>405</v>
      </c>
      <c r="F12" s="69" t="s">
        <v>406</v>
      </c>
      <c r="G12" s="69" t="s">
        <v>407</v>
      </c>
    </row>
    <row r="13" spans="1:7" ht="79.5" customHeight="1" x14ac:dyDescent="0.35">
      <c r="A13" s="2"/>
      <c r="B13" s="68" t="s">
        <v>113</v>
      </c>
      <c r="C13" s="68" t="s">
        <v>114</v>
      </c>
      <c r="D13" s="69" t="s">
        <v>408</v>
      </c>
      <c r="E13" s="69" t="s">
        <v>405</v>
      </c>
      <c r="F13" s="69" t="s">
        <v>409</v>
      </c>
      <c r="G13" s="69" t="s">
        <v>410</v>
      </c>
    </row>
    <row r="14" spans="1:7" ht="79.5" customHeight="1" x14ac:dyDescent="0.35">
      <c r="A14" s="2"/>
      <c r="B14" s="68" t="s">
        <v>115</v>
      </c>
      <c r="C14" s="68" t="s">
        <v>116</v>
      </c>
      <c r="D14" s="69" t="s">
        <v>411</v>
      </c>
      <c r="E14" s="69" t="s">
        <v>405</v>
      </c>
      <c r="F14" s="69" t="s">
        <v>412</v>
      </c>
      <c r="G14" s="69" t="s">
        <v>413</v>
      </c>
    </row>
    <row r="15" spans="1:7" ht="14.25" customHeight="1" x14ac:dyDescent="0.35">
      <c r="A15" s="32"/>
    </row>
    <row r="16" spans="1:7" ht="45" customHeight="1" x14ac:dyDescent="0.35">
      <c r="A16" s="5" t="s">
        <v>414</v>
      </c>
      <c r="B16" s="5"/>
      <c r="C16" s="5"/>
      <c r="D16" s="5"/>
      <c r="E16" s="5"/>
      <c r="F16" s="5"/>
      <c r="G16" s="5"/>
    </row>
    <row r="17" spans="1:1" ht="14.25" customHeight="1" x14ac:dyDescent="0.35">
      <c r="A17" s="32"/>
    </row>
    <row r="18" spans="1:1" ht="14.25" customHeight="1" x14ac:dyDescent="0.35">
      <c r="A18" s="32"/>
    </row>
    <row r="19" spans="1:1" ht="14.25" customHeight="1" x14ac:dyDescent="0.35">
      <c r="A19" s="32"/>
    </row>
    <row r="20" spans="1:1" ht="14.25" customHeight="1" x14ac:dyDescent="0.35">
      <c r="A20" s="32"/>
    </row>
    <row r="21" spans="1:1" ht="15.75" customHeight="1" x14ac:dyDescent="0.35">
      <c r="A21" s="32"/>
    </row>
    <row r="22" spans="1:1" ht="15.75" customHeight="1" x14ac:dyDescent="0.35">
      <c r="A22" s="32"/>
    </row>
    <row r="23" spans="1:1" ht="15.75" customHeight="1" x14ac:dyDescent="0.35">
      <c r="A23" s="32"/>
    </row>
    <row r="24" spans="1:1" ht="15.75" customHeight="1" x14ac:dyDescent="0.35">
      <c r="A24" s="32"/>
    </row>
    <row r="25" spans="1:1" ht="15.75" customHeight="1" x14ac:dyDescent="0.35">
      <c r="A25" s="32"/>
    </row>
    <row r="26" spans="1:1" ht="15.75" customHeight="1" x14ac:dyDescent="0.35">
      <c r="A26" s="32"/>
    </row>
    <row r="27" spans="1:1" ht="15.75" customHeight="1" x14ac:dyDescent="0.35">
      <c r="A27" s="32"/>
    </row>
    <row r="28" spans="1:1" ht="15.75" customHeight="1" x14ac:dyDescent="0.35">
      <c r="A28" s="32"/>
    </row>
    <row r="29" spans="1:1" ht="15.75" customHeight="1" x14ac:dyDescent="0.35">
      <c r="A29" s="32"/>
    </row>
    <row r="30" spans="1:1" ht="15.75" customHeight="1" x14ac:dyDescent="0.35">
      <c r="A30" s="32"/>
    </row>
    <row r="31" spans="1:1" ht="15.75" customHeight="1" x14ac:dyDescent="0.35">
      <c r="A31" s="32"/>
    </row>
    <row r="32" spans="1:1" ht="15.75" customHeight="1" x14ac:dyDescent="0.35">
      <c r="A32" s="32"/>
    </row>
    <row r="33" spans="1:1" ht="15.75" customHeight="1" x14ac:dyDescent="0.35">
      <c r="A33" s="32"/>
    </row>
    <row r="34" spans="1:1" ht="15.75" customHeight="1" x14ac:dyDescent="0.35">
      <c r="A34" s="32"/>
    </row>
    <row r="35" spans="1:1" ht="15.75" customHeight="1" x14ac:dyDescent="0.35">
      <c r="A35" s="32"/>
    </row>
    <row r="36" spans="1:1" ht="15.75" customHeight="1" x14ac:dyDescent="0.35">
      <c r="A36" s="32"/>
    </row>
    <row r="37" spans="1:1" ht="15.75" customHeight="1" x14ac:dyDescent="0.35">
      <c r="A37" s="32"/>
    </row>
    <row r="38" spans="1:1" ht="15.75" customHeight="1" x14ac:dyDescent="0.35">
      <c r="A38" s="32"/>
    </row>
    <row r="39" spans="1:1" ht="15.75" customHeight="1" x14ac:dyDescent="0.35">
      <c r="A39" s="32"/>
    </row>
    <row r="40" spans="1:1" ht="15.75" customHeight="1" x14ac:dyDescent="0.35">
      <c r="A40" s="32"/>
    </row>
    <row r="41" spans="1:1" ht="15.75" customHeight="1" x14ac:dyDescent="0.35">
      <c r="A41" s="32"/>
    </row>
    <row r="42" spans="1:1" ht="15.75" customHeight="1" x14ac:dyDescent="0.35">
      <c r="A42" s="32"/>
    </row>
    <row r="43" spans="1:1" ht="15.75" customHeight="1" x14ac:dyDescent="0.35">
      <c r="A43" s="32"/>
    </row>
    <row r="44" spans="1:1" ht="15.75" customHeight="1" x14ac:dyDescent="0.35">
      <c r="A44" s="32"/>
    </row>
    <row r="45" spans="1:1" ht="15.75" customHeight="1" x14ac:dyDescent="0.35">
      <c r="A45" s="32"/>
    </row>
    <row r="46" spans="1:1" ht="15.75" customHeight="1" x14ac:dyDescent="0.35">
      <c r="A46" s="32"/>
    </row>
    <row r="47" spans="1:1" ht="15.75" customHeight="1" x14ac:dyDescent="0.35">
      <c r="A47" s="32"/>
    </row>
    <row r="48" spans="1:1" ht="15.75" customHeight="1" x14ac:dyDescent="0.35">
      <c r="A48" s="32"/>
    </row>
    <row r="49" spans="1:1" ht="15.75" customHeight="1" x14ac:dyDescent="0.35">
      <c r="A49" s="32"/>
    </row>
    <row r="50" spans="1:1" ht="15.75" customHeight="1" x14ac:dyDescent="0.35">
      <c r="A50" s="32"/>
    </row>
    <row r="51" spans="1:1" ht="15.75" customHeight="1" x14ac:dyDescent="0.35">
      <c r="A51" s="32"/>
    </row>
    <row r="52" spans="1:1" ht="15.75" customHeight="1" x14ac:dyDescent="0.35">
      <c r="A52" s="32"/>
    </row>
    <row r="53" spans="1:1" ht="15.75" customHeight="1" x14ac:dyDescent="0.35">
      <c r="A53" s="32"/>
    </row>
    <row r="54" spans="1:1" ht="15.75" customHeight="1" x14ac:dyDescent="0.35">
      <c r="A54" s="32"/>
    </row>
    <row r="55" spans="1:1" ht="15.75" customHeight="1" x14ac:dyDescent="0.35">
      <c r="A55" s="32"/>
    </row>
    <row r="56" spans="1:1" ht="15.75" customHeight="1" x14ac:dyDescent="0.35">
      <c r="A56" s="32"/>
    </row>
    <row r="57" spans="1:1" ht="15.75" customHeight="1" x14ac:dyDescent="0.35">
      <c r="A57" s="32"/>
    </row>
    <row r="58" spans="1:1" ht="15.75" customHeight="1" x14ac:dyDescent="0.35">
      <c r="A58" s="32"/>
    </row>
    <row r="59" spans="1:1" ht="15.75" customHeight="1" x14ac:dyDescent="0.35">
      <c r="A59" s="32"/>
    </row>
    <row r="60" spans="1:1" ht="15.75" customHeight="1" x14ac:dyDescent="0.35">
      <c r="A60" s="32"/>
    </row>
    <row r="61" spans="1:1" ht="15.75" customHeight="1" x14ac:dyDescent="0.35">
      <c r="A61" s="32"/>
    </row>
    <row r="62" spans="1:1" ht="15.75" customHeight="1" x14ac:dyDescent="0.35">
      <c r="A62" s="32"/>
    </row>
    <row r="63" spans="1:1" ht="15.75" customHeight="1" x14ac:dyDescent="0.35">
      <c r="A63" s="32"/>
    </row>
    <row r="64" spans="1:1" ht="15.75" customHeight="1" x14ac:dyDescent="0.35">
      <c r="A64" s="32"/>
    </row>
    <row r="65" spans="1:1" ht="15.75" customHeight="1" x14ac:dyDescent="0.35">
      <c r="A65" s="32"/>
    </row>
    <row r="66" spans="1:1" ht="15.75" customHeight="1" x14ac:dyDescent="0.35">
      <c r="A66" s="32"/>
    </row>
    <row r="67" spans="1:1" ht="15.75" customHeight="1" x14ac:dyDescent="0.35">
      <c r="A67" s="32"/>
    </row>
    <row r="68" spans="1:1" ht="15.75" customHeight="1" x14ac:dyDescent="0.35">
      <c r="A68" s="32"/>
    </row>
    <row r="69" spans="1:1" ht="15.75" customHeight="1" x14ac:dyDescent="0.35">
      <c r="A69" s="32"/>
    </row>
    <row r="70" spans="1:1" ht="15.75" customHeight="1" x14ac:dyDescent="0.35">
      <c r="A70" s="32"/>
    </row>
    <row r="71" spans="1:1" ht="15.75" customHeight="1" x14ac:dyDescent="0.35">
      <c r="A71" s="32"/>
    </row>
    <row r="72" spans="1:1" ht="15.75" customHeight="1" x14ac:dyDescent="0.35">
      <c r="A72" s="32"/>
    </row>
    <row r="73" spans="1:1" ht="15.75" customHeight="1" x14ac:dyDescent="0.35">
      <c r="A73" s="32"/>
    </row>
    <row r="74" spans="1:1" ht="15.75" customHeight="1" x14ac:dyDescent="0.35">
      <c r="A74" s="32"/>
    </row>
    <row r="75" spans="1:1" ht="15.75" customHeight="1" x14ac:dyDescent="0.35">
      <c r="A75" s="32"/>
    </row>
    <row r="76" spans="1:1" ht="15.75" customHeight="1" x14ac:dyDescent="0.35">
      <c r="A76" s="32"/>
    </row>
    <row r="77" spans="1:1" ht="15.75" customHeight="1" x14ac:dyDescent="0.35">
      <c r="A77" s="32"/>
    </row>
    <row r="78" spans="1:1" ht="15.75" customHeight="1" x14ac:dyDescent="0.35">
      <c r="A78" s="32"/>
    </row>
    <row r="79" spans="1:1" ht="15.75" customHeight="1" x14ac:dyDescent="0.35">
      <c r="A79" s="32"/>
    </row>
    <row r="80" spans="1:1" ht="15.75" customHeight="1" x14ac:dyDescent="0.35">
      <c r="A80" s="32"/>
    </row>
    <row r="81" spans="1:1" ht="15.75" customHeight="1" x14ac:dyDescent="0.35">
      <c r="A81" s="32"/>
    </row>
    <row r="82" spans="1:1" ht="15.75" customHeight="1" x14ac:dyDescent="0.35">
      <c r="A82" s="32"/>
    </row>
    <row r="83" spans="1:1" ht="15.75" customHeight="1" x14ac:dyDescent="0.35">
      <c r="A83" s="32"/>
    </row>
    <row r="84" spans="1:1" ht="15.75" customHeight="1" x14ac:dyDescent="0.35">
      <c r="A84" s="32"/>
    </row>
    <row r="85" spans="1:1" ht="15.75" customHeight="1" x14ac:dyDescent="0.35">
      <c r="A85" s="32"/>
    </row>
    <row r="86" spans="1:1" ht="15.75" customHeight="1" x14ac:dyDescent="0.35">
      <c r="A86" s="32"/>
    </row>
    <row r="87" spans="1:1" ht="15.75" customHeight="1" x14ac:dyDescent="0.35">
      <c r="A87" s="32"/>
    </row>
    <row r="88" spans="1:1" ht="15.75" customHeight="1" x14ac:dyDescent="0.35">
      <c r="A88" s="32"/>
    </row>
    <row r="89" spans="1:1" ht="15.75" customHeight="1" x14ac:dyDescent="0.35">
      <c r="A89" s="32"/>
    </row>
    <row r="90" spans="1:1" ht="15.75" customHeight="1" x14ac:dyDescent="0.35">
      <c r="A90" s="32"/>
    </row>
    <row r="91" spans="1:1" ht="15.75" customHeight="1" x14ac:dyDescent="0.35">
      <c r="A91" s="32"/>
    </row>
    <row r="92" spans="1:1" ht="15.75" customHeight="1" x14ac:dyDescent="0.35">
      <c r="A92" s="32"/>
    </row>
    <row r="93" spans="1:1" ht="15.75" customHeight="1" x14ac:dyDescent="0.35">
      <c r="A93" s="32"/>
    </row>
    <row r="94" spans="1:1" ht="15.75" customHeight="1" x14ac:dyDescent="0.35">
      <c r="A94" s="32"/>
    </row>
    <row r="95" spans="1:1" ht="15.75" customHeight="1" x14ac:dyDescent="0.35">
      <c r="A95" s="32"/>
    </row>
    <row r="96" spans="1:1" ht="15.75" customHeight="1" x14ac:dyDescent="0.35">
      <c r="A96" s="32"/>
    </row>
    <row r="97" spans="1:1" ht="15.75" customHeight="1" x14ac:dyDescent="0.35">
      <c r="A97" s="32"/>
    </row>
    <row r="98" spans="1:1" ht="15.75" customHeight="1" x14ac:dyDescent="0.35">
      <c r="A98" s="32"/>
    </row>
    <row r="99" spans="1:1" ht="15.75" customHeight="1" x14ac:dyDescent="0.35">
      <c r="A99" s="32"/>
    </row>
    <row r="100" spans="1:1" ht="15.75" customHeight="1" x14ac:dyDescent="0.35">
      <c r="A100" s="32"/>
    </row>
    <row r="101" spans="1:1" ht="15.75" customHeight="1" x14ac:dyDescent="0.35">
      <c r="A101" s="32"/>
    </row>
    <row r="102" spans="1:1" ht="15.75" customHeight="1" x14ac:dyDescent="0.35">
      <c r="A102" s="32"/>
    </row>
    <row r="103" spans="1:1" ht="15.75" customHeight="1" x14ac:dyDescent="0.35">
      <c r="A103" s="32"/>
    </row>
    <row r="104" spans="1:1" ht="15.75" customHeight="1" x14ac:dyDescent="0.35">
      <c r="A104" s="32"/>
    </row>
    <row r="105" spans="1:1" ht="15.75" customHeight="1" x14ac:dyDescent="0.35">
      <c r="A105" s="32"/>
    </row>
    <row r="106" spans="1:1" ht="15.75" customHeight="1" x14ac:dyDescent="0.35">
      <c r="A106" s="32"/>
    </row>
    <row r="107" spans="1:1" ht="15.75" customHeight="1" x14ac:dyDescent="0.35">
      <c r="A107" s="32"/>
    </row>
    <row r="108" spans="1:1" ht="15.75" customHeight="1" x14ac:dyDescent="0.35">
      <c r="A108" s="32"/>
    </row>
    <row r="109" spans="1:1" ht="15.75" customHeight="1" x14ac:dyDescent="0.35">
      <c r="A109" s="32"/>
    </row>
    <row r="110" spans="1:1" ht="15.75" customHeight="1" x14ac:dyDescent="0.35">
      <c r="A110" s="32"/>
    </row>
    <row r="111" spans="1:1" ht="15.75" customHeight="1" x14ac:dyDescent="0.35">
      <c r="A111" s="32"/>
    </row>
    <row r="112" spans="1:1" ht="15.75" customHeight="1" x14ac:dyDescent="0.35">
      <c r="A112" s="32"/>
    </row>
    <row r="113" spans="1:1" ht="15.75" customHeight="1" x14ac:dyDescent="0.35">
      <c r="A113" s="32"/>
    </row>
    <row r="114" spans="1:1" ht="15.75" customHeight="1" x14ac:dyDescent="0.35">
      <c r="A114" s="32"/>
    </row>
    <row r="115" spans="1:1" ht="15.75" customHeight="1" x14ac:dyDescent="0.35">
      <c r="A115" s="32"/>
    </row>
    <row r="116" spans="1:1" ht="15.75" customHeight="1" x14ac:dyDescent="0.35">
      <c r="A116" s="32"/>
    </row>
    <row r="117" spans="1:1" ht="15.75" customHeight="1" x14ac:dyDescent="0.35">
      <c r="A117" s="32"/>
    </row>
    <row r="118" spans="1:1" ht="15.75" customHeight="1" x14ac:dyDescent="0.35">
      <c r="A118" s="32"/>
    </row>
    <row r="119" spans="1:1" ht="15.75" customHeight="1" x14ac:dyDescent="0.35">
      <c r="A119" s="32"/>
    </row>
    <row r="120" spans="1:1" ht="15.75" customHeight="1" x14ac:dyDescent="0.35">
      <c r="A120" s="32"/>
    </row>
    <row r="121" spans="1:1" ht="15.75" customHeight="1" x14ac:dyDescent="0.35">
      <c r="A121" s="32"/>
    </row>
    <row r="122" spans="1:1" ht="15.75" customHeight="1" x14ac:dyDescent="0.35">
      <c r="A122" s="32"/>
    </row>
    <row r="123" spans="1:1" ht="15.75" customHeight="1" x14ac:dyDescent="0.35">
      <c r="A123" s="32"/>
    </row>
    <row r="124" spans="1:1" ht="15.75" customHeight="1" x14ac:dyDescent="0.35">
      <c r="A124" s="32"/>
    </row>
    <row r="125" spans="1:1" ht="15.75" customHeight="1" x14ac:dyDescent="0.35">
      <c r="A125" s="32"/>
    </row>
    <row r="126" spans="1:1" ht="15.75" customHeight="1" x14ac:dyDescent="0.35">
      <c r="A126" s="32"/>
    </row>
    <row r="127" spans="1:1" ht="15.75" customHeight="1" x14ac:dyDescent="0.35">
      <c r="A127" s="32"/>
    </row>
    <row r="128" spans="1:1" ht="15.75" customHeight="1" x14ac:dyDescent="0.35">
      <c r="A128" s="32"/>
    </row>
    <row r="129" spans="1:1" ht="15.75" customHeight="1" x14ac:dyDescent="0.35">
      <c r="A129" s="32"/>
    </row>
    <row r="130" spans="1:1" ht="15.75" customHeight="1" x14ac:dyDescent="0.35">
      <c r="A130" s="32"/>
    </row>
    <row r="131" spans="1:1" ht="15.75" customHeight="1" x14ac:dyDescent="0.35">
      <c r="A131" s="32"/>
    </row>
    <row r="132" spans="1:1" ht="15.75" customHeight="1" x14ac:dyDescent="0.35">
      <c r="A132" s="32"/>
    </row>
    <row r="133" spans="1:1" ht="15.75" customHeight="1" x14ac:dyDescent="0.35">
      <c r="A133" s="32"/>
    </row>
    <row r="134" spans="1:1" ht="15.75" customHeight="1" x14ac:dyDescent="0.35">
      <c r="A134" s="32"/>
    </row>
    <row r="135" spans="1:1" ht="15.75" customHeight="1" x14ac:dyDescent="0.35">
      <c r="A135" s="32"/>
    </row>
    <row r="136" spans="1:1" ht="15.75" customHeight="1" x14ac:dyDescent="0.35">
      <c r="A136" s="32"/>
    </row>
    <row r="137" spans="1:1" ht="15.75" customHeight="1" x14ac:dyDescent="0.35">
      <c r="A137" s="32"/>
    </row>
    <row r="138" spans="1:1" ht="15.75" customHeight="1" x14ac:dyDescent="0.35">
      <c r="A138" s="32"/>
    </row>
    <row r="139" spans="1:1" ht="15.75" customHeight="1" x14ac:dyDescent="0.35">
      <c r="A139" s="32"/>
    </row>
    <row r="140" spans="1:1" ht="15.75" customHeight="1" x14ac:dyDescent="0.35">
      <c r="A140" s="32"/>
    </row>
    <row r="141" spans="1:1" ht="15.75" customHeight="1" x14ac:dyDescent="0.35">
      <c r="A141" s="32"/>
    </row>
    <row r="142" spans="1:1" ht="15.75" customHeight="1" x14ac:dyDescent="0.35">
      <c r="A142" s="32"/>
    </row>
    <row r="143" spans="1:1" ht="15.75" customHeight="1" x14ac:dyDescent="0.35">
      <c r="A143" s="32"/>
    </row>
    <row r="144" spans="1:1" ht="15.75" customHeight="1" x14ac:dyDescent="0.35">
      <c r="A144" s="32"/>
    </row>
    <row r="145" spans="1:1" ht="15.75" customHeight="1" x14ac:dyDescent="0.35">
      <c r="A145" s="32"/>
    </row>
    <row r="146" spans="1:1" ht="15.75" customHeight="1" x14ac:dyDescent="0.35">
      <c r="A146" s="32"/>
    </row>
    <row r="147" spans="1:1" ht="15.75" customHeight="1" x14ac:dyDescent="0.35">
      <c r="A147" s="32"/>
    </row>
    <row r="148" spans="1:1" ht="15.75" customHeight="1" x14ac:dyDescent="0.35">
      <c r="A148" s="32"/>
    </row>
    <row r="149" spans="1:1" ht="15.75" customHeight="1" x14ac:dyDescent="0.35">
      <c r="A149" s="32"/>
    </row>
    <row r="150" spans="1:1" ht="15.75" customHeight="1" x14ac:dyDescent="0.35">
      <c r="A150" s="32"/>
    </row>
    <row r="151" spans="1:1" ht="15.75" customHeight="1" x14ac:dyDescent="0.35">
      <c r="A151" s="32"/>
    </row>
    <row r="152" spans="1:1" ht="15.75" customHeight="1" x14ac:dyDescent="0.35">
      <c r="A152" s="32"/>
    </row>
    <row r="153" spans="1:1" ht="15.75" customHeight="1" x14ac:dyDescent="0.35">
      <c r="A153" s="32"/>
    </row>
    <row r="154" spans="1:1" ht="15.75" customHeight="1" x14ac:dyDescent="0.35">
      <c r="A154" s="32"/>
    </row>
    <row r="155" spans="1:1" ht="15.75" customHeight="1" x14ac:dyDescent="0.35">
      <c r="A155" s="32"/>
    </row>
    <row r="156" spans="1:1" ht="15.75" customHeight="1" x14ac:dyDescent="0.35">
      <c r="A156" s="32"/>
    </row>
    <row r="157" spans="1:1" ht="15.75" customHeight="1" x14ac:dyDescent="0.35">
      <c r="A157" s="32"/>
    </row>
    <row r="158" spans="1:1" ht="15.75" customHeight="1" x14ac:dyDescent="0.35">
      <c r="A158" s="32"/>
    </row>
    <row r="159" spans="1:1" ht="15.75" customHeight="1" x14ac:dyDescent="0.35">
      <c r="A159" s="32"/>
    </row>
    <row r="160" spans="1:1" ht="15.75" customHeight="1" x14ac:dyDescent="0.35">
      <c r="A160" s="32"/>
    </row>
    <row r="161" spans="1:1" ht="15.75" customHeight="1" x14ac:dyDescent="0.35">
      <c r="A161" s="32"/>
    </row>
    <row r="162" spans="1:1" ht="15.75" customHeight="1" x14ac:dyDescent="0.35">
      <c r="A162" s="32"/>
    </row>
    <row r="163" spans="1:1" ht="15.75" customHeight="1" x14ac:dyDescent="0.35">
      <c r="A163" s="32"/>
    </row>
    <row r="164" spans="1:1" ht="15.75" customHeight="1" x14ac:dyDescent="0.35">
      <c r="A164" s="32"/>
    </row>
    <row r="165" spans="1:1" ht="15.75" customHeight="1" x14ac:dyDescent="0.35">
      <c r="A165" s="32"/>
    </row>
    <row r="166" spans="1:1" ht="15.75" customHeight="1" x14ac:dyDescent="0.35">
      <c r="A166" s="32"/>
    </row>
    <row r="167" spans="1:1" ht="15.75" customHeight="1" x14ac:dyDescent="0.35">
      <c r="A167" s="32"/>
    </row>
    <row r="168" spans="1:1" ht="15.75" customHeight="1" x14ac:dyDescent="0.35">
      <c r="A168" s="32"/>
    </row>
    <row r="169" spans="1:1" ht="15.75" customHeight="1" x14ac:dyDescent="0.35">
      <c r="A169" s="32"/>
    </row>
    <row r="170" spans="1:1" ht="15.75" customHeight="1" x14ac:dyDescent="0.35">
      <c r="A170" s="32"/>
    </row>
    <row r="171" spans="1:1" ht="15.75" customHeight="1" x14ac:dyDescent="0.35">
      <c r="A171" s="32"/>
    </row>
    <row r="172" spans="1:1" ht="15.75" customHeight="1" x14ac:dyDescent="0.35">
      <c r="A172" s="32"/>
    </row>
    <row r="173" spans="1:1" ht="15.75" customHeight="1" x14ac:dyDescent="0.35">
      <c r="A173" s="32"/>
    </row>
    <row r="174" spans="1:1" ht="15.75" customHeight="1" x14ac:dyDescent="0.35">
      <c r="A174" s="32"/>
    </row>
    <row r="175" spans="1:1" ht="15.75" customHeight="1" x14ac:dyDescent="0.35">
      <c r="A175" s="32"/>
    </row>
    <row r="176" spans="1:1" ht="15.75" customHeight="1" x14ac:dyDescent="0.35">
      <c r="A176" s="32"/>
    </row>
    <row r="177" spans="1:1" ht="15.75" customHeight="1" x14ac:dyDescent="0.35">
      <c r="A177" s="32"/>
    </row>
    <row r="178" spans="1:1" ht="15.75" customHeight="1" x14ac:dyDescent="0.35">
      <c r="A178" s="32"/>
    </row>
    <row r="179" spans="1:1" ht="15.75" customHeight="1" x14ac:dyDescent="0.35">
      <c r="A179" s="32"/>
    </row>
    <row r="180" spans="1:1" ht="15.75" customHeight="1" x14ac:dyDescent="0.35">
      <c r="A180" s="32"/>
    </row>
    <row r="181" spans="1:1" ht="15.75" customHeight="1" x14ac:dyDescent="0.35">
      <c r="A181" s="32"/>
    </row>
    <row r="182" spans="1:1" ht="15.75" customHeight="1" x14ac:dyDescent="0.35">
      <c r="A182" s="32"/>
    </row>
    <row r="183" spans="1:1" ht="15.75" customHeight="1" x14ac:dyDescent="0.35">
      <c r="A183" s="32"/>
    </row>
    <row r="184" spans="1:1" ht="15.75" customHeight="1" x14ac:dyDescent="0.35">
      <c r="A184" s="32"/>
    </row>
    <row r="185" spans="1:1" ht="15.75" customHeight="1" x14ac:dyDescent="0.35">
      <c r="A185" s="32"/>
    </row>
    <row r="186" spans="1:1" ht="15.75" customHeight="1" x14ac:dyDescent="0.35">
      <c r="A186" s="32"/>
    </row>
    <row r="187" spans="1:1" ht="15.75" customHeight="1" x14ac:dyDescent="0.35">
      <c r="A187" s="32"/>
    </row>
    <row r="188" spans="1:1" ht="15.75" customHeight="1" x14ac:dyDescent="0.35">
      <c r="A188" s="32"/>
    </row>
    <row r="189" spans="1:1" ht="15.75" customHeight="1" x14ac:dyDescent="0.35">
      <c r="A189" s="32"/>
    </row>
    <row r="190" spans="1:1" ht="15.75" customHeight="1" x14ac:dyDescent="0.35">
      <c r="A190" s="32"/>
    </row>
    <row r="191" spans="1:1" ht="15.75" customHeight="1" x14ac:dyDescent="0.35">
      <c r="A191" s="32"/>
    </row>
    <row r="192" spans="1:1" ht="15.75" customHeight="1" x14ac:dyDescent="0.35">
      <c r="A192" s="32"/>
    </row>
    <row r="193" spans="1:1" ht="15.75" customHeight="1" x14ac:dyDescent="0.35">
      <c r="A193" s="32"/>
    </row>
    <row r="194" spans="1:1" ht="15.75" customHeight="1" x14ac:dyDescent="0.35">
      <c r="A194" s="32"/>
    </row>
    <row r="195" spans="1:1" ht="15.75" customHeight="1" x14ac:dyDescent="0.35">
      <c r="A195" s="32"/>
    </row>
    <row r="196" spans="1:1" ht="15.75" customHeight="1" x14ac:dyDescent="0.35">
      <c r="A196" s="32"/>
    </row>
    <row r="197" spans="1:1" ht="15.75" customHeight="1" x14ac:dyDescent="0.35">
      <c r="A197" s="32"/>
    </row>
    <row r="198" spans="1:1" ht="15.75" customHeight="1" x14ac:dyDescent="0.35">
      <c r="A198" s="32"/>
    </row>
    <row r="199" spans="1:1" ht="15.75" customHeight="1" x14ac:dyDescent="0.35">
      <c r="A199" s="32"/>
    </row>
    <row r="200" spans="1:1" ht="15.75" customHeight="1" x14ac:dyDescent="0.35">
      <c r="A200" s="32"/>
    </row>
    <row r="201" spans="1:1" ht="15.75" customHeight="1" x14ac:dyDescent="0.35">
      <c r="A201" s="32"/>
    </row>
    <row r="202" spans="1:1" ht="15.75" customHeight="1" x14ac:dyDescent="0.35">
      <c r="A202" s="32"/>
    </row>
    <row r="203" spans="1:1" ht="15.75" customHeight="1" x14ac:dyDescent="0.35">
      <c r="A203" s="32"/>
    </row>
    <row r="204" spans="1:1" ht="15.75" customHeight="1" x14ac:dyDescent="0.35">
      <c r="A204" s="32"/>
    </row>
    <row r="205" spans="1:1" ht="15.75" customHeight="1" x14ac:dyDescent="0.35">
      <c r="A205" s="32"/>
    </row>
    <row r="206" spans="1:1" ht="15.75" customHeight="1" x14ac:dyDescent="0.35">
      <c r="A206" s="32"/>
    </row>
    <row r="207" spans="1:1" ht="15.75" customHeight="1" x14ac:dyDescent="0.35">
      <c r="A207" s="32"/>
    </row>
    <row r="208" spans="1:1" ht="15.75" customHeight="1" x14ac:dyDescent="0.35">
      <c r="A208" s="32"/>
    </row>
    <row r="209" spans="1:1" ht="15.75" customHeight="1" x14ac:dyDescent="0.35">
      <c r="A209" s="32"/>
    </row>
    <row r="210" spans="1:1" ht="15.75" customHeight="1" x14ac:dyDescent="0.35">
      <c r="A210" s="32"/>
    </row>
    <row r="211" spans="1:1" ht="15.75" customHeight="1" x14ac:dyDescent="0.35">
      <c r="A211" s="32"/>
    </row>
    <row r="212" spans="1:1" ht="15.75" customHeight="1" x14ac:dyDescent="0.35">
      <c r="A212" s="32"/>
    </row>
    <row r="213" spans="1:1" ht="15.75" customHeight="1" x14ac:dyDescent="0.35">
      <c r="A213" s="32"/>
    </row>
    <row r="214" spans="1:1" ht="15.75" customHeight="1" x14ac:dyDescent="0.35">
      <c r="A214" s="32"/>
    </row>
    <row r="215" spans="1:1" ht="15.75" customHeight="1" x14ac:dyDescent="0.35">
      <c r="A215" s="32"/>
    </row>
    <row r="216" spans="1:1" ht="15.75" customHeight="1" x14ac:dyDescent="0.35">
      <c r="A216" s="32"/>
    </row>
    <row r="217" spans="1:1" ht="15.75" customHeight="1" x14ac:dyDescent="0.35">
      <c r="A217" s="32"/>
    </row>
    <row r="218" spans="1:1" ht="15.75" customHeight="1" x14ac:dyDescent="0.35">
      <c r="A218" s="32"/>
    </row>
    <row r="219" spans="1:1" ht="15.75" customHeight="1" x14ac:dyDescent="0.35">
      <c r="A219" s="32"/>
    </row>
    <row r="220" spans="1:1" ht="15.75" customHeight="1" x14ac:dyDescent="0.35">
      <c r="A220" s="32"/>
    </row>
    <row r="221" spans="1:1" ht="15.75" customHeight="1" x14ac:dyDescent="0.35"/>
    <row r="222" spans="1:1" ht="15.75" customHeight="1" x14ac:dyDescent="0.35"/>
    <row r="223" spans="1:1" ht="15.75" customHeight="1" x14ac:dyDescent="0.35"/>
    <row r="224" spans="1:1"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7">
    <mergeCell ref="A12:A14"/>
    <mergeCell ref="A16:G16"/>
    <mergeCell ref="A2:A3"/>
    <mergeCell ref="A4:A5"/>
    <mergeCell ref="A6:A7"/>
    <mergeCell ref="A8:A9"/>
    <mergeCell ref="A10:A11"/>
  </mergeCells>
  <pageMargins left="0.7" right="0.7" top="0.75" bottom="0.75" header="0.511811023622047" footer="0.511811023622047"/>
  <pageSetup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9"/>
  <sheetViews>
    <sheetView topLeftCell="B1" zoomScaleNormal="100" workbookViewId="0">
      <pane ySplit="1" topLeftCell="A3" activePane="bottomLeft" state="frozen"/>
      <selection pane="bottomLeft"/>
    </sheetView>
  </sheetViews>
  <sheetFormatPr defaultColWidth="8.54296875" defaultRowHeight="14.5" x14ac:dyDescent="0.35"/>
  <cols>
    <col min="1" max="1" width="9" customWidth="1"/>
    <col min="2" max="2" width="55" customWidth="1"/>
    <col min="3" max="3" width="12" customWidth="1"/>
    <col min="4" max="4" width="11" customWidth="1"/>
    <col min="5" max="5" width="8" customWidth="1"/>
    <col min="6" max="6" width="10" customWidth="1"/>
    <col min="7" max="7" width="60" customWidth="1"/>
    <col min="8" max="8" width="18" customWidth="1"/>
    <col min="9" max="9" width="10" customWidth="1"/>
  </cols>
  <sheetData>
    <row r="1" spans="1:9" ht="27.75" customHeight="1" x14ac:dyDescent="0.35">
      <c r="A1" s="70" t="s">
        <v>415</v>
      </c>
      <c r="B1" s="70" t="s">
        <v>416</v>
      </c>
      <c r="C1" s="70" t="s">
        <v>417</v>
      </c>
      <c r="D1" s="70" t="s">
        <v>418</v>
      </c>
      <c r="E1" s="70" t="s">
        <v>419</v>
      </c>
      <c r="F1" s="70" t="s">
        <v>420</v>
      </c>
      <c r="G1" s="70" t="s">
        <v>421</v>
      </c>
      <c r="H1" s="70" t="s">
        <v>422</v>
      </c>
      <c r="I1" s="70" t="s">
        <v>423</v>
      </c>
    </row>
    <row r="2" spans="1:9" ht="48" customHeight="1" x14ac:dyDescent="0.35">
      <c r="A2" s="71" t="s">
        <v>424</v>
      </c>
      <c r="B2" s="72" t="s">
        <v>425</v>
      </c>
      <c r="C2" s="73">
        <v>3</v>
      </c>
      <c r="D2" s="73">
        <v>2</v>
      </c>
      <c r="E2" s="71">
        <f t="shared" ref="E2:E7" si="0">C2*D2</f>
        <v>6</v>
      </c>
      <c r="F2" s="71" t="str">
        <f t="shared" ref="F2:F7" si="1">IF(E2&gt;=6,"High",IF(E2&gt;=3,"Medium","Low"))</f>
        <v>High</v>
      </c>
      <c r="G2" s="72" t="s">
        <v>426</v>
      </c>
      <c r="H2" s="72" t="s">
        <v>342</v>
      </c>
      <c r="I2" s="71" t="s">
        <v>427</v>
      </c>
    </row>
    <row r="3" spans="1:9" ht="48" customHeight="1" x14ac:dyDescent="0.35">
      <c r="A3" s="71" t="s">
        <v>428</v>
      </c>
      <c r="B3" s="72" t="s">
        <v>429</v>
      </c>
      <c r="C3" s="73">
        <v>3</v>
      </c>
      <c r="D3" s="73">
        <v>2</v>
      </c>
      <c r="E3" s="71">
        <f t="shared" si="0"/>
        <v>6</v>
      </c>
      <c r="F3" s="71" t="str">
        <f t="shared" si="1"/>
        <v>High</v>
      </c>
      <c r="G3" s="72" t="s">
        <v>430</v>
      </c>
      <c r="H3" s="72" t="s">
        <v>431</v>
      </c>
      <c r="I3" s="71" t="s">
        <v>427</v>
      </c>
    </row>
    <row r="4" spans="1:9" ht="48" customHeight="1" x14ac:dyDescent="0.35">
      <c r="A4" s="71" t="s">
        <v>432</v>
      </c>
      <c r="B4" s="72" t="s">
        <v>433</v>
      </c>
      <c r="C4" s="73">
        <v>2</v>
      </c>
      <c r="D4" s="73">
        <v>3</v>
      </c>
      <c r="E4" s="71">
        <f t="shared" si="0"/>
        <v>6</v>
      </c>
      <c r="F4" s="71" t="str">
        <f t="shared" si="1"/>
        <v>High</v>
      </c>
      <c r="G4" s="72" t="s">
        <v>434</v>
      </c>
      <c r="H4" s="72" t="s">
        <v>304</v>
      </c>
      <c r="I4" s="71" t="s">
        <v>427</v>
      </c>
    </row>
    <row r="5" spans="1:9" ht="48" customHeight="1" x14ac:dyDescent="0.35">
      <c r="A5" s="71" t="s">
        <v>435</v>
      </c>
      <c r="B5" s="72" t="s">
        <v>436</v>
      </c>
      <c r="C5" s="73">
        <v>2</v>
      </c>
      <c r="D5" s="73">
        <v>2</v>
      </c>
      <c r="E5" s="71">
        <f t="shared" si="0"/>
        <v>4</v>
      </c>
      <c r="F5" s="71" t="str">
        <f t="shared" si="1"/>
        <v>Medium</v>
      </c>
      <c r="G5" s="72" t="s">
        <v>437</v>
      </c>
      <c r="H5" s="72" t="s">
        <v>298</v>
      </c>
      <c r="I5" s="71" t="s">
        <v>427</v>
      </c>
    </row>
    <row r="6" spans="1:9" ht="48" customHeight="1" x14ac:dyDescent="0.35">
      <c r="A6" s="71" t="s">
        <v>438</v>
      </c>
      <c r="B6" s="72" t="s">
        <v>439</v>
      </c>
      <c r="C6" s="73">
        <v>2</v>
      </c>
      <c r="D6" s="73">
        <v>3</v>
      </c>
      <c r="E6" s="71">
        <f t="shared" si="0"/>
        <v>6</v>
      </c>
      <c r="F6" s="71" t="str">
        <f t="shared" si="1"/>
        <v>High</v>
      </c>
      <c r="G6" s="72" t="s">
        <v>440</v>
      </c>
      <c r="H6" s="72" t="s">
        <v>33</v>
      </c>
      <c r="I6" s="71" t="s">
        <v>427</v>
      </c>
    </row>
    <row r="7" spans="1:9" ht="48" customHeight="1" x14ac:dyDescent="0.35">
      <c r="A7" s="71" t="s">
        <v>441</v>
      </c>
      <c r="B7" s="72" t="s">
        <v>442</v>
      </c>
      <c r="C7" s="73">
        <v>1</v>
      </c>
      <c r="D7" s="73">
        <v>3</v>
      </c>
      <c r="E7" s="71">
        <f t="shared" si="0"/>
        <v>3</v>
      </c>
      <c r="F7" s="71" t="str">
        <f t="shared" si="1"/>
        <v>Medium</v>
      </c>
      <c r="G7" s="72" t="s">
        <v>443</v>
      </c>
      <c r="H7" s="72" t="s">
        <v>342</v>
      </c>
      <c r="I7" s="71" t="s">
        <v>427</v>
      </c>
    </row>
    <row r="9" spans="1:9" ht="15" customHeight="1" x14ac:dyDescent="0.35">
      <c r="A9" s="1" t="s">
        <v>444</v>
      </c>
      <c r="B9" s="1"/>
      <c r="C9" s="1"/>
      <c r="D9" s="1"/>
      <c r="E9" s="1"/>
      <c r="F9" s="1"/>
      <c r="G9" s="1"/>
      <c r="H9" s="1"/>
      <c r="I9" s="1"/>
    </row>
  </sheetData>
  <mergeCells count="1">
    <mergeCell ref="A9:I9"/>
  </mergeCells>
  <conditionalFormatting sqref="F2:F7">
    <cfRule type="cellIs" dxfId="2" priority="2" operator="equal">
      <formula>"High"</formula>
    </cfRule>
    <cfRule type="cellIs" dxfId="1" priority="3" operator="equal">
      <formula>"Medium"</formula>
    </cfRule>
    <cfRule type="cellIs" dxfId="0" priority="4" operator="equal">
      <formula>"Low"</formula>
    </cfRule>
  </conditionalFormatting>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Project Overview</vt:lpstr>
      <vt:lpstr>Requirements</vt:lpstr>
      <vt:lpstr>EPICS</vt:lpstr>
      <vt:lpstr>User Stories</vt:lpstr>
      <vt:lpstr>Roadmap</vt:lpstr>
      <vt:lpstr>Gantt Chart</vt:lpstr>
      <vt:lpstr>Traceability Matrix</vt:lpstr>
      <vt:lpstr>Risk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Northwind Technologies CRM Implementation – BA Workbook</dc:title>
  <dc:subject/>
  <dc:creator>Susmita Kumari Giri</dc:creator>
  <dc:description/>
  <cp:lastModifiedBy>Susmita Kumari Giri</cp:lastModifiedBy>
  <cp:revision>0</cp:revision>
  <dcterms:created xsi:type="dcterms:W3CDTF">2026-10-02T07:22:19Z</dcterms:created>
  <dcterms:modified xsi:type="dcterms:W3CDTF">2026-10-03T02:15:58Z</dcterms:modified>
  <dc:language>en-US</dc:language>
</cp:coreProperties>
</file>